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Reshma Sadamate\Downloads\"/>
    </mc:Choice>
  </mc:AlternateContent>
  <xr:revisionPtr revIDLastSave="0" documentId="8_{765140A2-FDF3-4488-8C1C-C236778CE5DE}" xr6:coauthVersionLast="47" xr6:coauthVersionMax="47" xr10:uidLastSave="{00000000-0000-0000-0000-000000000000}"/>
  <bookViews>
    <workbookView xWindow="28680" yWindow="-120" windowWidth="29040" windowHeight="15720" xr2:uid="{DFEA0AD9-1E34-4A6E-8F41-ACA8AFAF2EB1}"/>
  </bookViews>
  <sheets>
    <sheet name="Summary " sheetId="1" r:id="rId1"/>
    <sheet name="Landscape R01" sheetId="2" r:id="rId2"/>
  </sheets>
  <externalReferences>
    <externalReference r:id="rId3"/>
    <externalReference r:id="rId4"/>
  </externalReferences>
  <definedNames>
    <definedName name="_xlnm._FilterDatabase" localSheetId="1" hidden="1">'Landscape R01'!$A$11:$BL$146</definedName>
    <definedName name="_xlnm.Print_Area" localSheetId="1">'Landscape R01'!$B$2:$BL$147</definedName>
    <definedName name="_xlnm.Print_Area" localSheetId="0">'Summary '!$A$1:$Q$35</definedName>
    <definedName name="_xlnm.Print_Titles" localSheetId="1">'Landscape R01'!$2:$11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30" i="2" l="1"/>
  <c r="D26" i="1" s="1"/>
  <c r="AH129" i="2"/>
  <c r="W129" i="2"/>
  <c r="T129" i="2"/>
  <c r="R129" i="2"/>
  <c r="AH128" i="2"/>
  <c r="W128" i="2"/>
  <c r="T128" i="2"/>
  <c r="R128" i="2"/>
  <c r="AH127" i="2"/>
  <c r="W127" i="2"/>
  <c r="T127" i="2"/>
  <c r="R127" i="2"/>
  <c r="AH126" i="2"/>
  <c r="W126" i="2"/>
  <c r="T126" i="2"/>
  <c r="R126" i="2"/>
  <c r="AH125" i="2"/>
  <c r="W125" i="2"/>
  <c r="T125" i="2"/>
  <c r="R125" i="2"/>
  <c r="AH124" i="2"/>
  <c r="W124" i="2"/>
  <c r="T124" i="2"/>
  <c r="R124" i="2"/>
  <c r="AF123" i="2"/>
  <c r="AH123" i="2" s="1"/>
  <c r="W123" i="2"/>
  <c r="T123" i="2"/>
  <c r="R123" i="2"/>
  <c r="W122" i="2"/>
  <c r="T122" i="2"/>
  <c r="R122" i="2"/>
  <c r="W121" i="2"/>
  <c r="AH120" i="2"/>
  <c r="W120" i="2"/>
  <c r="T120" i="2"/>
  <c r="R120" i="2"/>
  <c r="AH119" i="2"/>
  <c r="W119" i="2"/>
  <c r="T119" i="2"/>
  <c r="R119" i="2"/>
  <c r="AH118" i="2"/>
  <c r="W118" i="2"/>
  <c r="AH117" i="2"/>
  <c r="W117" i="2"/>
  <c r="T117" i="2"/>
  <c r="R117" i="2"/>
  <c r="J117" i="2"/>
  <c r="AH116" i="2"/>
  <c r="W116" i="2"/>
  <c r="J116" i="2"/>
  <c r="AH115" i="2"/>
  <c r="W115" i="2"/>
  <c r="BL114" i="2"/>
  <c r="BJ114" i="2"/>
  <c r="BH114" i="2"/>
  <c r="BF114" i="2"/>
  <c r="BD114" i="2"/>
  <c r="BB114" i="2"/>
  <c r="AZ114" i="2"/>
  <c r="AX114" i="2"/>
  <c r="AV114" i="2"/>
  <c r="AT114" i="2"/>
  <c r="AR114" i="2"/>
  <c r="AP114" i="2"/>
  <c r="AN114" i="2"/>
  <c r="AL114" i="2"/>
  <c r="AJ114" i="2"/>
  <c r="AH114" i="2"/>
  <c r="AE114" i="2"/>
  <c r="AC114" i="2"/>
  <c r="AA114" i="2"/>
  <c r="Y114" i="2"/>
  <c r="W114" i="2"/>
  <c r="T114" i="2"/>
  <c r="R114" i="2"/>
  <c r="P114" i="2"/>
  <c r="N114" i="2"/>
  <c r="L114" i="2"/>
  <c r="J114" i="2"/>
  <c r="B114" i="2"/>
  <c r="BL113" i="2"/>
  <c r="BJ113" i="2"/>
  <c r="BH113" i="2"/>
  <c r="BF113" i="2"/>
  <c r="BD113" i="2"/>
  <c r="BB113" i="2"/>
  <c r="AZ113" i="2"/>
  <c r="AX113" i="2"/>
  <c r="AV113" i="2"/>
  <c r="AT113" i="2"/>
  <c r="AR113" i="2"/>
  <c r="AP113" i="2"/>
  <c r="AN113" i="2"/>
  <c r="AL113" i="2"/>
  <c r="AJ113" i="2"/>
  <c r="AH113" i="2"/>
  <c r="AE113" i="2"/>
  <c r="AC113" i="2"/>
  <c r="AA113" i="2"/>
  <c r="Y113" i="2"/>
  <c r="W113" i="2"/>
  <c r="T113" i="2"/>
  <c r="R113" i="2"/>
  <c r="P113" i="2"/>
  <c r="N113" i="2"/>
  <c r="L113" i="2"/>
  <c r="J113" i="2"/>
  <c r="B113" i="2"/>
  <c r="BL112" i="2"/>
  <c r="BJ112" i="2"/>
  <c r="BH112" i="2"/>
  <c r="BF112" i="2"/>
  <c r="BD112" i="2"/>
  <c r="BB112" i="2"/>
  <c r="AZ112" i="2"/>
  <c r="AX112" i="2"/>
  <c r="AV112" i="2"/>
  <c r="AT112" i="2"/>
  <c r="AR112" i="2"/>
  <c r="AP112" i="2"/>
  <c r="AN112" i="2"/>
  <c r="AL112" i="2"/>
  <c r="AJ112" i="2"/>
  <c r="AH112" i="2"/>
  <c r="AE112" i="2"/>
  <c r="AC112" i="2"/>
  <c r="AA112" i="2"/>
  <c r="Y112" i="2"/>
  <c r="W112" i="2"/>
  <c r="T112" i="2"/>
  <c r="R112" i="2"/>
  <c r="P112" i="2"/>
  <c r="N112" i="2"/>
  <c r="L112" i="2"/>
  <c r="J112" i="2"/>
  <c r="B112" i="2"/>
  <c r="BL111" i="2"/>
  <c r="BJ111" i="2"/>
  <c r="BH111" i="2"/>
  <c r="BF111" i="2"/>
  <c r="BD111" i="2"/>
  <c r="BB111" i="2"/>
  <c r="AZ111" i="2"/>
  <c r="AX111" i="2"/>
  <c r="AV111" i="2"/>
  <c r="AT111" i="2"/>
  <c r="AR111" i="2"/>
  <c r="AP111" i="2"/>
  <c r="AN111" i="2"/>
  <c r="AL111" i="2"/>
  <c r="AJ111" i="2"/>
  <c r="AH111" i="2"/>
  <c r="AE111" i="2"/>
  <c r="AC111" i="2"/>
  <c r="AA111" i="2"/>
  <c r="Y111" i="2"/>
  <c r="W111" i="2"/>
  <c r="T111" i="2"/>
  <c r="R111" i="2"/>
  <c r="P111" i="2"/>
  <c r="N111" i="2"/>
  <c r="L111" i="2"/>
  <c r="J111" i="2"/>
  <c r="B111" i="2"/>
  <c r="BL110" i="2"/>
  <c r="BJ110" i="2"/>
  <c r="BH110" i="2"/>
  <c r="BF110" i="2"/>
  <c r="BD110" i="2"/>
  <c r="BB110" i="2"/>
  <c r="AZ110" i="2"/>
  <c r="AX110" i="2"/>
  <c r="AV110" i="2"/>
  <c r="AT110" i="2"/>
  <c r="AR110" i="2"/>
  <c r="AP110" i="2"/>
  <c r="AN110" i="2"/>
  <c r="AL110" i="2"/>
  <c r="AJ110" i="2"/>
  <c r="AH110" i="2"/>
  <c r="AE110" i="2"/>
  <c r="AC110" i="2"/>
  <c r="AA110" i="2"/>
  <c r="Y110" i="2"/>
  <c r="W110" i="2"/>
  <c r="T110" i="2"/>
  <c r="R110" i="2"/>
  <c r="P110" i="2"/>
  <c r="N110" i="2"/>
  <c r="L110" i="2"/>
  <c r="J110" i="2"/>
  <c r="B110" i="2"/>
  <c r="BL108" i="2"/>
  <c r="BJ108" i="2"/>
  <c r="BH108" i="2"/>
  <c r="BF108" i="2"/>
  <c r="BD108" i="2"/>
  <c r="BB108" i="2"/>
  <c r="AZ108" i="2"/>
  <c r="AX108" i="2"/>
  <c r="AV108" i="2"/>
  <c r="AT108" i="2"/>
  <c r="AR108" i="2"/>
  <c r="AP108" i="2"/>
  <c r="AN108" i="2"/>
  <c r="AL108" i="2"/>
  <c r="AJ108" i="2"/>
  <c r="AH108" i="2"/>
  <c r="AE108" i="2"/>
  <c r="AC108" i="2"/>
  <c r="AA108" i="2"/>
  <c r="Y108" i="2"/>
  <c r="W108" i="2"/>
  <c r="T108" i="2"/>
  <c r="R108" i="2"/>
  <c r="P108" i="2"/>
  <c r="N108" i="2"/>
  <c r="L108" i="2"/>
  <c r="J108" i="2"/>
  <c r="B108" i="2"/>
  <c r="W107" i="2"/>
  <c r="B107" i="2"/>
  <c r="W106" i="2"/>
  <c r="B106" i="2"/>
  <c r="W105" i="2"/>
  <c r="B105" i="2"/>
  <c r="BL104" i="2"/>
  <c r="BJ104" i="2"/>
  <c r="BH104" i="2"/>
  <c r="BF104" i="2"/>
  <c r="BD104" i="2"/>
  <c r="BB104" i="2"/>
  <c r="AZ104" i="2"/>
  <c r="AX104" i="2"/>
  <c r="AV104" i="2"/>
  <c r="AT104" i="2"/>
  <c r="AR104" i="2"/>
  <c r="AP104" i="2"/>
  <c r="AN104" i="2"/>
  <c r="AL104" i="2"/>
  <c r="AJ104" i="2"/>
  <c r="AH104" i="2"/>
  <c r="AE104" i="2"/>
  <c r="AC104" i="2"/>
  <c r="AA104" i="2"/>
  <c r="Y104" i="2"/>
  <c r="W104" i="2"/>
  <c r="T104" i="2"/>
  <c r="R104" i="2"/>
  <c r="P104" i="2"/>
  <c r="N104" i="2"/>
  <c r="L104" i="2"/>
  <c r="J104" i="2"/>
  <c r="B104" i="2"/>
  <c r="BL103" i="2"/>
  <c r="BJ103" i="2"/>
  <c r="BH103" i="2"/>
  <c r="BF103" i="2"/>
  <c r="BD103" i="2"/>
  <c r="BB103" i="2"/>
  <c r="AZ103" i="2"/>
  <c r="AX103" i="2"/>
  <c r="AV103" i="2"/>
  <c r="AT103" i="2"/>
  <c r="AR103" i="2"/>
  <c r="AP103" i="2"/>
  <c r="AN103" i="2"/>
  <c r="AL103" i="2"/>
  <c r="AJ103" i="2"/>
  <c r="AH103" i="2"/>
  <c r="AE103" i="2"/>
  <c r="AC103" i="2"/>
  <c r="AA103" i="2"/>
  <c r="Y103" i="2"/>
  <c r="W103" i="2"/>
  <c r="T103" i="2"/>
  <c r="R103" i="2"/>
  <c r="P103" i="2"/>
  <c r="N103" i="2"/>
  <c r="L103" i="2"/>
  <c r="J103" i="2"/>
  <c r="B103" i="2"/>
  <c r="BL102" i="2"/>
  <c r="BJ102" i="2"/>
  <c r="BH102" i="2"/>
  <c r="BF102" i="2"/>
  <c r="BD102" i="2"/>
  <c r="BB102" i="2"/>
  <c r="AZ102" i="2"/>
  <c r="AX102" i="2"/>
  <c r="AV102" i="2"/>
  <c r="AT102" i="2"/>
  <c r="AR102" i="2"/>
  <c r="AP102" i="2"/>
  <c r="AN102" i="2"/>
  <c r="AL102" i="2"/>
  <c r="AJ102" i="2"/>
  <c r="AH102" i="2"/>
  <c r="AE102" i="2"/>
  <c r="AC102" i="2"/>
  <c r="AA102" i="2"/>
  <c r="Y102" i="2"/>
  <c r="W102" i="2"/>
  <c r="T102" i="2"/>
  <c r="R102" i="2"/>
  <c r="P102" i="2"/>
  <c r="N102" i="2"/>
  <c r="L102" i="2"/>
  <c r="J102" i="2"/>
  <c r="B102" i="2"/>
  <c r="BL101" i="2"/>
  <c r="BJ101" i="2"/>
  <c r="BH101" i="2"/>
  <c r="BF101" i="2"/>
  <c r="BD101" i="2"/>
  <c r="BB101" i="2"/>
  <c r="AZ101" i="2"/>
  <c r="AX101" i="2"/>
  <c r="AV101" i="2"/>
  <c r="AT101" i="2"/>
  <c r="AR101" i="2"/>
  <c r="AP101" i="2"/>
  <c r="AN101" i="2"/>
  <c r="AL101" i="2"/>
  <c r="AJ101" i="2"/>
  <c r="AH101" i="2"/>
  <c r="AE101" i="2"/>
  <c r="AC101" i="2"/>
  <c r="AA101" i="2"/>
  <c r="Y101" i="2"/>
  <c r="W101" i="2"/>
  <c r="T101" i="2"/>
  <c r="R101" i="2"/>
  <c r="P101" i="2"/>
  <c r="N101" i="2"/>
  <c r="L101" i="2"/>
  <c r="J101" i="2"/>
  <c r="B101" i="2"/>
  <c r="BL100" i="2"/>
  <c r="BJ100" i="2"/>
  <c r="BH100" i="2"/>
  <c r="BF100" i="2"/>
  <c r="BD100" i="2"/>
  <c r="BB100" i="2"/>
  <c r="AZ100" i="2"/>
  <c r="AX100" i="2"/>
  <c r="AV100" i="2"/>
  <c r="AT100" i="2"/>
  <c r="AR100" i="2"/>
  <c r="AP100" i="2"/>
  <c r="AN100" i="2"/>
  <c r="AL100" i="2"/>
  <c r="AJ100" i="2"/>
  <c r="AH100" i="2"/>
  <c r="AE100" i="2"/>
  <c r="AC100" i="2"/>
  <c r="AA100" i="2"/>
  <c r="Y100" i="2"/>
  <c r="W100" i="2"/>
  <c r="T100" i="2"/>
  <c r="R100" i="2"/>
  <c r="P100" i="2"/>
  <c r="N100" i="2"/>
  <c r="L100" i="2"/>
  <c r="J100" i="2"/>
  <c r="B100" i="2"/>
  <c r="BL97" i="2"/>
  <c r="BJ97" i="2"/>
  <c r="BH97" i="2"/>
  <c r="BF97" i="2"/>
  <c r="BD97" i="2"/>
  <c r="BB97" i="2"/>
  <c r="AZ97" i="2"/>
  <c r="AX97" i="2"/>
  <c r="AV97" i="2"/>
  <c r="AT97" i="2"/>
  <c r="AR97" i="2"/>
  <c r="AP97" i="2"/>
  <c r="AN97" i="2"/>
  <c r="AL97" i="2"/>
  <c r="AJ97" i="2"/>
  <c r="AH97" i="2"/>
  <c r="AE97" i="2"/>
  <c r="AC97" i="2"/>
  <c r="AA97" i="2"/>
  <c r="Y97" i="2"/>
  <c r="W97" i="2"/>
  <c r="T97" i="2"/>
  <c r="R97" i="2"/>
  <c r="P97" i="2"/>
  <c r="N97" i="2"/>
  <c r="L97" i="2"/>
  <c r="J97" i="2"/>
  <c r="B97" i="2"/>
  <c r="BL96" i="2"/>
  <c r="BJ96" i="2"/>
  <c r="BH96" i="2"/>
  <c r="BF96" i="2"/>
  <c r="BD96" i="2"/>
  <c r="BB96" i="2"/>
  <c r="AZ96" i="2"/>
  <c r="AX96" i="2"/>
  <c r="AV96" i="2"/>
  <c r="AT96" i="2"/>
  <c r="AR96" i="2"/>
  <c r="AP96" i="2"/>
  <c r="AN96" i="2"/>
  <c r="AL96" i="2"/>
  <c r="AJ96" i="2"/>
  <c r="AH96" i="2"/>
  <c r="AE96" i="2"/>
  <c r="AC96" i="2"/>
  <c r="AA96" i="2"/>
  <c r="Y96" i="2"/>
  <c r="W96" i="2"/>
  <c r="T96" i="2"/>
  <c r="R96" i="2"/>
  <c r="P96" i="2"/>
  <c r="N96" i="2"/>
  <c r="L96" i="2"/>
  <c r="J96" i="2"/>
  <c r="B96" i="2"/>
  <c r="H95" i="2"/>
  <c r="B95" i="2"/>
  <c r="BL94" i="2"/>
  <c r="BJ94" i="2"/>
  <c r="BH94" i="2"/>
  <c r="BF94" i="2"/>
  <c r="BD94" i="2"/>
  <c r="BB94" i="2"/>
  <c r="AZ94" i="2"/>
  <c r="AX94" i="2"/>
  <c r="AV94" i="2"/>
  <c r="AT94" i="2"/>
  <c r="AR94" i="2"/>
  <c r="AP94" i="2"/>
  <c r="AN94" i="2"/>
  <c r="AL94" i="2"/>
  <c r="AJ94" i="2"/>
  <c r="AH94" i="2"/>
  <c r="AE94" i="2"/>
  <c r="AC94" i="2"/>
  <c r="AA94" i="2"/>
  <c r="Y94" i="2"/>
  <c r="W94" i="2"/>
  <c r="T94" i="2"/>
  <c r="R94" i="2"/>
  <c r="P94" i="2"/>
  <c r="N94" i="2"/>
  <c r="L94" i="2"/>
  <c r="J94" i="2"/>
  <c r="B94" i="2"/>
  <c r="BL93" i="2"/>
  <c r="BJ93" i="2"/>
  <c r="BH93" i="2"/>
  <c r="BF93" i="2"/>
  <c r="BD93" i="2"/>
  <c r="BB93" i="2"/>
  <c r="AZ93" i="2"/>
  <c r="AX93" i="2"/>
  <c r="AV93" i="2"/>
  <c r="AT93" i="2"/>
  <c r="AR93" i="2"/>
  <c r="AP93" i="2"/>
  <c r="AN93" i="2"/>
  <c r="AL93" i="2"/>
  <c r="AJ93" i="2"/>
  <c r="AH93" i="2"/>
  <c r="AE93" i="2"/>
  <c r="AC93" i="2"/>
  <c r="AA93" i="2"/>
  <c r="Y93" i="2"/>
  <c r="W93" i="2"/>
  <c r="T93" i="2"/>
  <c r="R93" i="2"/>
  <c r="P93" i="2"/>
  <c r="N93" i="2"/>
  <c r="L93" i="2"/>
  <c r="J93" i="2"/>
  <c r="B93" i="2"/>
  <c r="H92" i="2"/>
  <c r="B92" i="2"/>
  <c r="BL91" i="2"/>
  <c r="BJ91" i="2"/>
  <c r="BH91" i="2"/>
  <c r="BF91" i="2"/>
  <c r="BD91" i="2"/>
  <c r="BB91" i="2"/>
  <c r="AZ91" i="2"/>
  <c r="AX91" i="2"/>
  <c r="AV91" i="2"/>
  <c r="AT91" i="2"/>
  <c r="AR91" i="2"/>
  <c r="AP91" i="2"/>
  <c r="AN91" i="2"/>
  <c r="AL91" i="2"/>
  <c r="AJ91" i="2"/>
  <c r="AH91" i="2"/>
  <c r="AE91" i="2"/>
  <c r="AC91" i="2"/>
  <c r="AA91" i="2"/>
  <c r="Y91" i="2"/>
  <c r="W91" i="2"/>
  <c r="T91" i="2"/>
  <c r="R91" i="2"/>
  <c r="P91" i="2"/>
  <c r="N91" i="2"/>
  <c r="L91" i="2"/>
  <c r="J91" i="2"/>
  <c r="B91" i="2"/>
  <c r="BL90" i="2"/>
  <c r="BJ90" i="2"/>
  <c r="BH90" i="2"/>
  <c r="BF90" i="2"/>
  <c r="BD90" i="2"/>
  <c r="BB90" i="2"/>
  <c r="AZ90" i="2"/>
  <c r="AX90" i="2"/>
  <c r="AV90" i="2"/>
  <c r="AT90" i="2"/>
  <c r="AR90" i="2"/>
  <c r="AP90" i="2"/>
  <c r="AN90" i="2"/>
  <c r="AL90" i="2"/>
  <c r="AJ90" i="2"/>
  <c r="AH90" i="2"/>
  <c r="AE90" i="2"/>
  <c r="AC90" i="2"/>
  <c r="AA90" i="2"/>
  <c r="Y90" i="2"/>
  <c r="W90" i="2"/>
  <c r="T90" i="2"/>
  <c r="R90" i="2"/>
  <c r="P90" i="2"/>
  <c r="N90" i="2"/>
  <c r="L90" i="2"/>
  <c r="J90" i="2"/>
  <c r="B90" i="2"/>
  <c r="BL89" i="2"/>
  <c r="BJ89" i="2"/>
  <c r="BH89" i="2"/>
  <c r="BF89" i="2"/>
  <c r="BD89" i="2"/>
  <c r="BB89" i="2"/>
  <c r="AZ89" i="2"/>
  <c r="AX89" i="2"/>
  <c r="AV89" i="2"/>
  <c r="AT89" i="2"/>
  <c r="AR89" i="2"/>
  <c r="AP89" i="2"/>
  <c r="AN89" i="2"/>
  <c r="AL89" i="2"/>
  <c r="AJ89" i="2"/>
  <c r="AH89" i="2"/>
  <c r="AE89" i="2"/>
  <c r="AC89" i="2"/>
  <c r="AA89" i="2"/>
  <c r="Y89" i="2"/>
  <c r="W89" i="2"/>
  <c r="T89" i="2"/>
  <c r="R89" i="2"/>
  <c r="P89" i="2"/>
  <c r="N89" i="2"/>
  <c r="L89" i="2"/>
  <c r="J89" i="2"/>
  <c r="B89" i="2"/>
  <c r="BL88" i="2"/>
  <c r="BJ88" i="2"/>
  <c r="BH88" i="2"/>
  <c r="BF88" i="2"/>
  <c r="BD88" i="2"/>
  <c r="BB88" i="2"/>
  <c r="AZ88" i="2"/>
  <c r="AX88" i="2"/>
  <c r="AV88" i="2"/>
  <c r="AT88" i="2"/>
  <c r="AR88" i="2"/>
  <c r="AP88" i="2"/>
  <c r="AN88" i="2"/>
  <c r="AL88" i="2"/>
  <c r="AJ88" i="2"/>
  <c r="AH88" i="2"/>
  <c r="AE88" i="2"/>
  <c r="AC88" i="2"/>
  <c r="AA88" i="2"/>
  <c r="Y88" i="2"/>
  <c r="W88" i="2"/>
  <c r="T88" i="2"/>
  <c r="R88" i="2"/>
  <c r="P88" i="2"/>
  <c r="N88" i="2"/>
  <c r="L88" i="2"/>
  <c r="J88" i="2"/>
  <c r="B88" i="2"/>
  <c r="BL87" i="2"/>
  <c r="BJ87" i="2"/>
  <c r="BH87" i="2"/>
  <c r="BF87" i="2"/>
  <c r="BD87" i="2"/>
  <c r="BB87" i="2"/>
  <c r="AZ87" i="2"/>
  <c r="AX87" i="2"/>
  <c r="AV87" i="2"/>
  <c r="AT87" i="2"/>
  <c r="AR87" i="2"/>
  <c r="AP87" i="2"/>
  <c r="AN87" i="2"/>
  <c r="AL87" i="2"/>
  <c r="AJ87" i="2"/>
  <c r="AH87" i="2"/>
  <c r="AE87" i="2"/>
  <c r="AC87" i="2"/>
  <c r="AA87" i="2"/>
  <c r="Y87" i="2"/>
  <c r="W87" i="2"/>
  <c r="T87" i="2"/>
  <c r="R87" i="2"/>
  <c r="P87" i="2"/>
  <c r="N87" i="2"/>
  <c r="L87" i="2"/>
  <c r="J87" i="2"/>
  <c r="B87" i="2"/>
  <c r="BL86" i="2"/>
  <c r="BJ86" i="2"/>
  <c r="BH86" i="2"/>
  <c r="BF86" i="2"/>
  <c r="BD86" i="2"/>
  <c r="BB86" i="2"/>
  <c r="AZ86" i="2"/>
  <c r="AX86" i="2"/>
  <c r="AV86" i="2"/>
  <c r="AT86" i="2"/>
  <c r="AR86" i="2"/>
  <c r="AP86" i="2"/>
  <c r="AN86" i="2"/>
  <c r="AL86" i="2"/>
  <c r="AJ86" i="2"/>
  <c r="AH86" i="2"/>
  <c r="AE86" i="2"/>
  <c r="AC86" i="2"/>
  <c r="AA86" i="2"/>
  <c r="Y86" i="2"/>
  <c r="W86" i="2"/>
  <c r="T86" i="2"/>
  <c r="R86" i="2"/>
  <c r="P86" i="2"/>
  <c r="N86" i="2"/>
  <c r="L86" i="2"/>
  <c r="J86" i="2"/>
  <c r="B86" i="2"/>
  <c r="BL85" i="2"/>
  <c r="BJ85" i="2"/>
  <c r="BH85" i="2"/>
  <c r="BF85" i="2"/>
  <c r="BD85" i="2"/>
  <c r="BB85" i="2"/>
  <c r="AZ85" i="2"/>
  <c r="AX85" i="2"/>
  <c r="AV85" i="2"/>
  <c r="AT85" i="2"/>
  <c r="AR85" i="2"/>
  <c r="AP85" i="2"/>
  <c r="AN85" i="2"/>
  <c r="AL85" i="2"/>
  <c r="AJ85" i="2"/>
  <c r="AH85" i="2"/>
  <c r="AE85" i="2"/>
  <c r="AC85" i="2"/>
  <c r="AA85" i="2"/>
  <c r="Y85" i="2"/>
  <c r="W85" i="2"/>
  <c r="T85" i="2"/>
  <c r="R85" i="2"/>
  <c r="P85" i="2"/>
  <c r="N85" i="2"/>
  <c r="L85" i="2"/>
  <c r="J85" i="2"/>
  <c r="B85" i="2"/>
  <c r="B84" i="2"/>
  <c r="BL83" i="2"/>
  <c r="BJ83" i="2"/>
  <c r="BH83" i="2"/>
  <c r="BF83" i="2"/>
  <c r="BD83" i="2"/>
  <c r="BB83" i="2"/>
  <c r="AZ83" i="2"/>
  <c r="AX83" i="2"/>
  <c r="AV83" i="2"/>
  <c r="AT83" i="2"/>
  <c r="AR83" i="2"/>
  <c r="AP83" i="2"/>
  <c r="AN83" i="2"/>
  <c r="AL83" i="2"/>
  <c r="AJ83" i="2"/>
  <c r="AH83" i="2"/>
  <c r="AE83" i="2"/>
  <c r="AC83" i="2"/>
  <c r="AA83" i="2"/>
  <c r="Y83" i="2"/>
  <c r="W83" i="2"/>
  <c r="T83" i="2"/>
  <c r="R83" i="2"/>
  <c r="P83" i="2"/>
  <c r="N83" i="2"/>
  <c r="L83" i="2"/>
  <c r="J83" i="2"/>
  <c r="B83" i="2"/>
  <c r="BL82" i="2"/>
  <c r="BJ82" i="2"/>
  <c r="BH82" i="2"/>
  <c r="BF82" i="2"/>
  <c r="BD82" i="2"/>
  <c r="BB82" i="2"/>
  <c r="AZ82" i="2"/>
  <c r="AX82" i="2"/>
  <c r="AV82" i="2"/>
  <c r="AT82" i="2"/>
  <c r="AR82" i="2"/>
  <c r="AP82" i="2"/>
  <c r="AN82" i="2"/>
  <c r="AL82" i="2"/>
  <c r="AJ82" i="2"/>
  <c r="AH82" i="2"/>
  <c r="AE82" i="2"/>
  <c r="AC82" i="2"/>
  <c r="AA82" i="2"/>
  <c r="Y82" i="2"/>
  <c r="W82" i="2"/>
  <c r="T82" i="2"/>
  <c r="R82" i="2"/>
  <c r="P82" i="2"/>
  <c r="N82" i="2"/>
  <c r="L82" i="2"/>
  <c r="J82" i="2"/>
  <c r="B82" i="2"/>
  <c r="BL81" i="2"/>
  <c r="BJ81" i="2"/>
  <c r="BH81" i="2"/>
  <c r="BF81" i="2"/>
  <c r="BD81" i="2"/>
  <c r="BB81" i="2"/>
  <c r="AZ81" i="2"/>
  <c r="AX81" i="2"/>
  <c r="AV81" i="2"/>
  <c r="AT81" i="2"/>
  <c r="AR81" i="2"/>
  <c r="AP81" i="2"/>
  <c r="AN81" i="2"/>
  <c r="AL81" i="2"/>
  <c r="AJ81" i="2"/>
  <c r="AH81" i="2"/>
  <c r="AE81" i="2"/>
  <c r="AC81" i="2"/>
  <c r="AA81" i="2"/>
  <c r="Y81" i="2"/>
  <c r="W81" i="2"/>
  <c r="T81" i="2"/>
  <c r="R81" i="2"/>
  <c r="P81" i="2"/>
  <c r="N81" i="2"/>
  <c r="L81" i="2"/>
  <c r="J81" i="2"/>
  <c r="B81" i="2"/>
  <c r="BL80" i="2"/>
  <c r="BJ80" i="2"/>
  <c r="BH80" i="2"/>
  <c r="BF80" i="2"/>
  <c r="BD80" i="2"/>
  <c r="BB80" i="2"/>
  <c r="AZ80" i="2"/>
  <c r="AX80" i="2"/>
  <c r="AV80" i="2"/>
  <c r="AT80" i="2"/>
  <c r="AR80" i="2"/>
  <c r="AP80" i="2"/>
  <c r="AN80" i="2"/>
  <c r="AL80" i="2"/>
  <c r="AJ80" i="2"/>
  <c r="AH80" i="2"/>
  <c r="AE80" i="2"/>
  <c r="AC80" i="2"/>
  <c r="AA80" i="2"/>
  <c r="Y80" i="2"/>
  <c r="W80" i="2"/>
  <c r="T80" i="2"/>
  <c r="R80" i="2"/>
  <c r="P80" i="2"/>
  <c r="N80" i="2"/>
  <c r="L80" i="2"/>
  <c r="J80" i="2"/>
  <c r="B80" i="2"/>
  <c r="BL79" i="2"/>
  <c r="BJ79" i="2"/>
  <c r="BH79" i="2"/>
  <c r="BF79" i="2"/>
  <c r="BD79" i="2"/>
  <c r="BB79" i="2"/>
  <c r="AZ79" i="2"/>
  <c r="AX79" i="2"/>
  <c r="AV79" i="2"/>
  <c r="AT79" i="2"/>
  <c r="AR79" i="2"/>
  <c r="AP79" i="2"/>
  <c r="AN79" i="2"/>
  <c r="AL79" i="2"/>
  <c r="AJ79" i="2"/>
  <c r="AH79" i="2"/>
  <c r="AE79" i="2"/>
  <c r="AC79" i="2"/>
  <c r="AA79" i="2"/>
  <c r="Y79" i="2"/>
  <c r="W79" i="2"/>
  <c r="T79" i="2"/>
  <c r="R79" i="2"/>
  <c r="P79" i="2"/>
  <c r="N79" i="2"/>
  <c r="L79" i="2"/>
  <c r="J79" i="2"/>
  <c r="B79" i="2"/>
  <c r="BL78" i="2"/>
  <c r="BJ78" i="2"/>
  <c r="BH78" i="2"/>
  <c r="BF78" i="2"/>
  <c r="BD78" i="2"/>
  <c r="BB78" i="2"/>
  <c r="AZ78" i="2"/>
  <c r="AX78" i="2"/>
  <c r="AV78" i="2"/>
  <c r="AT78" i="2"/>
  <c r="AR78" i="2"/>
  <c r="AP78" i="2"/>
  <c r="AN78" i="2"/>
  <c r="AL78" i="2"/>
  <c r="AJ78" i="2"/>
  <c r="AH78" i="2"/>
  <c r="AE78" i="2"/>
  <c r="AC78" i="2"/>
  <c r="AA78" i="2"/>
  <c r="Y78" i="2"/>
  <c r="W78" i="2"/>
  <c r="T78" i="2"/>
  <c r="R78" i="2"/>
  <c r="P78" i="2"/>
  <c r="N78" i="2"/>
  <c r="L78" i="2"/>
  <c r="J78" i="2"/>
  <c r="B78" i="2"/>
  <c r="BL77" i="2"/>
  <c r="BJ77" i="2"/>
  <c r="BH77" i="2"/>
  <c r="BF77" i="2"/>
  <c r="BD77" i="2"/>
  <c r="BB77" i="2"/>
  <c r="AZ77" i="2"/>
  <c r="AX77" i="2"/>
  <c r="AV77" i="2"/>
  <c r="AT77" i="2"/>
  <c r="AR77" i="2"/>
  <c r="AP77" i="2"/>
  <c r="AN77" i="2"/>
  <c r="AL77" i="2"/>
  <c r="AJ77" i="2"/>
  <c r="AH77" i="2"/>
  <c r="AE77" i="2"/>
  <c r="AC77" i="2"/>
  <c r="AA77" i="2"/>
  <c r="Y77" i="2"/>
  <c r="W77" i="2"/>
  <c r="T77" i="2"/>
  <c r="R77" i="2"/>
  <c r="P77" i="2"/>
  <c r="N77" i="2"/>
  <c r="L77" i="2"/>
  <c r="J77" i="2"/>
  <c r="B77" i="2"/>
  <c r="BL76" i="2"/>
  <c r="BJ76" i="2"/>
  <c r="BH76" i="2"/>
  <c r="BF76" i="2"/>
  <c r="BD76" i="2"/>
  <c r="BB76" i="2"/>
  <c r="AZ76" i="2"/>
  <c r="AX76" i="2"/>
  <c r="AV76" i="2"/>
  <c r="AT76" i="2"/>
  <c r="AR76" i="2"/>
  <c r="AP76" i="2"/>
  <c r="AN76" i="2"/>
  <c r="AL76" i="2"/>
  <c r="AJ76" i="2"/>
  <c r="AH76" i="2"/>
  <c r="AE76" i="2"/>
  <c r="AC76" i="2"/>
  <c r="AA76" i="2"/>
  <c r="Y76" i="2"/>
  <c r="W76" i="2"/>
  <c r="T76" i="2"/>
  <c r="R76" i="2"/>
  <c r="P76" i="2"/>
  <c r="N76" i="2"/>
  <c r="L76" i="2"/>
  <c r="J76" i="2"/>
  <c r="B76" i="2"/>
  <c r="BL75" i="2"/>
  <c r="BJ75" i="2"/>
  <c r="BH75" i="2"/>
  <c r="BF75" i="2"/>
  <c r="BD75" i="2"/>
  <c r="BB75" i="2"/>
  <c r="AZ75" i="2"/>
  <c r="AX75" i="2"/>
  <c r="AV75" i="2"/>
  <c r="AT75" i="2"/>
  <c r="AR75" i="2"/>
  <c r="AP75" i="2"/>
  <c r="AN75" i="2"/>
  <c r="AL75" i="2"/>
  <c r="AJ75" i="2"/>
  <c r="AH75" i="2"/>
  <c r="AE75" i="2"/>
  <c r="AC75" i="2"/>
  <c r="AA75" i="2"/>
  <c r="Y75" i="2"/>
  <c r="W75" i="2"/>
  <c r="T75" i="2"/>
  <c r="R75" i="2"/>
  <c r="P75" i="2"/>
  <c r="N75" i="2"/>
  <c r="L75" i="2"/>
  <c r="J75" i="2"/>
  <c r="B75" i="2"/>
  <c r="B74" i="2"/>
  <c r="BL73" i="2"/>
  <c r="BJ73" i="2"/>
  <c r="BH73" i="2"/>
  <c r="BF73" i="2"/>
  <c r="BD73" i="2"/>
  <c r="BB73" i="2"/>
  <c r="AZ73" i="2"/>
  <c r="AX73" i="2"/>
  <c r="AV73" i="2"/>
  <c r="AT73" i="2"/>
  <c r="AR73" i="2"/>
  <c r="AP73" i="2"/>
  <c r="AN73" i="2"/>
  <c r="AL73" i="2"/>
  <c r="AJ73" i="2"/>
  <c r="AH73" i="2"/>
  <c r="AE73" i="2"/>
  <c r="AC73" i="2"/>
  <c r="AA73" i="2"/>
  <c r="Y73" i="2"/>
  <c r="W73" i="2"/>
  <c r="T73" i="2"/>
  <c r="R73" i="2"/>
  <c r="P73" i="2"/>
  <c r="N73" i="2"/>
  <c r="L73" i="2"/>
  <c r="J73" i="2"/>
  <c r="B73" i="2"/>
  <c r="B72" i="2"/>
  <c r="BL71" i="2"/>
  <c r="BJ71" i="2"/>
  <c r="BH71" i="2"/>
  <c r="BF71" i="2"/>
  <c r="BD71" i="2"/>
  <c r="BB71" i="2"/>
  <c r="AZ71" i="2"/>
  <c r="AX71" i="2"/>
  <c r="AV71" i="2"/>
  <c r="AT71" i="2"/>
  <c r="AR71" i="2"/>
  <c r="AP71" i="2"/>
  <c r="AN71" i="2"/>
  <c r="AL71" i="2"/>
  <c r="AJ71" i="2"/>
  <c r="AH71" i="2"/>
  <c r="AE71" i="2"/>
  <c r="AC71" i="2"/>
  <c r="AA71" i="2"/>
  <c r="Y71" i="2"/>
  <c r="W71" i="2"/>
  <c r="T71" i="2"/>
  <c r="R71" i="2"/>
  <c r="P71" i="2"/>
  <c r="N71" i="2"/>
  <c r="L71" i="2"/>
  <c r="J71" i="2"/>
  <c r="B71" i="2"/>
  <c r="BL70" i="2"/>
  <c r="BJ70" i="2"/>
  <c r="BH70" i="2"/>
  <c r="BF70" i="2"/>
  <c r="BD70" i="2"/>
  <c r="BB70" i="2"/>
  <c r="AZ70" i="2"/>
  <c r="AX70" i="2"/>
  <c r="AV70" i="2"/>
  <c r="AT70" i="2"/>
  <c r="AR70" i="2"/>
  <c r="AP70" i="2"/>
  <c r="AN70" i="2"/>
  <c r="AL70" i="2"/>
  <c r="AJ70" i="2"/>
  <c r="AH70" i="2"/>
  <c r="AE70" i="2"/>
  <c r="AC70" i="2"/>
  <c r="AA70" i="2"/>
  <c r="Y70" i="2"/>
  <c r="W70" i="2"/>
  <c r="T70" i="2"/>
  <c r="R70" i="2"/>
  <c r="P70" i="2"/>
  <c r="N70" i="2"/>
  <c r="L70" i="2"/>
  <c r="J70" i="2"/>
  <c r="B70" i="2"/>
  <c r="BL69" i="2"/>
  <c r="BJ69" i="2"/>
  <c r="BH69" i="2"/>
  <c r="BF69" i="2"/>
  <c r="BD69" i="2"/>
  <c r="BB69" i="2"/>
  <c r="AZ69" i="2"/>
  <c r="AX69" i="2"/>
  <c r="AV69" i="2"/>
  <c r="AT69" i="2"/>
  <c r="AR69" i="2"/>
  <c r="AP69" i="2"/>
  <c r="AN69" i="2"/>
  <c r="AL69" i="2"/>
  <c r="AJ69" i="2"/>
  <c r="AH69" i="2"/>
  <c r="AE69" i="2"/>
  <c r="AC69" i="2"/>
  <c r="AA69" i="2"/>
  <c r="Y69" i="2"/>
  <c r="W69" i="2"/>
  <c r="T69" i="2"/>
  <c r="R69" i="2"/>
  <c r="P69" i="2"/>
  <c r="N69" i="2"/>
  <c r="L69" i="2"/>
  <c r="J69" i="2"/>
  <c r="B69" i="2"/>
  <c r="BL68" i="2"/>
  <c r="BJ68" i="2"/>
  <c r="BH68" i="2"/>
  <c r="BF68" i="2"/>
  <c r="BD68" i="2"/>
  <c r="BB68" i="2"/>
  <c r="AZ68" i="2"/>
  <c r="AX68" i="2"/>
  <c r="AV68" i="2"/>
  <c r="AT68" i="2"/>
  <c r="AR68" i="2"/>
  <c r="AP68" i="2"/>
  <c r="AN68" i="2"/>
  <c r="AL68" i="2"/>
  <c r="AJ68" i="2"/>
  <c r="AH68" i="2"/>
  <c r="AE68" i="2"/>
  <c r="AC68" i="2"/>
  <c r="AA68" i="2"/>
  <c r="Y68" i="2"/>
  <c r="W68" i="2"/>
  <c r="T68" i="2"/>
  <c r="R68" i="2"/>
  <c r="P68" i="2"/>
  <c r="N68" i="2"/>
  <c r="L68" i="2"/>
  <c r="J68" i="2"/>
  <c r="B68" i="2"/>
  <c r="BL67" i="2"/>
  <c r="BJ67" i="2"/>
  <c r="BH67" i="2"/>
  <c r="BF67" i="2"/>
  <c r="BD67" i="2"/>
  <c r="BB67" i="2"/>
  <c r="AZ67" i="2"/>
  <c r="AX67" i="2"/>
  <c r="AV67" i="2"/>
  <c r="AT67" i="2"/>
  <c r="AR67" i="2"/>
  <c r="AP67" i="2"/>
  <c r="AN67" i="2"/>
  <c r="AL67" i="2"/>
  <c r="AJ67" i="2"/>
  <c r="AH67" i="2"/>
  <c r="AE67" i="2"/>
  <c r="AC67" i="2"/>
  <c r="AA67" i="2"/>
  <c r="Y67" i="2"/>
  <c r="W67" i="2"/>
  <c r="T67" i="2"/>
  <c r="R67" i="2"/>
  <c r="P67" i="2"/>
  <c r="N67" i="2"/>
  <c r="L67" i="2"/>
  <c r="J67" i="2"/>
  <c r="B67" i="2"/>
  <c r="BL66" i="2"/>
  <c r="BJ66" i="2"/>
  <c r="BH66" i="2"/>
  <c r="BF66" i="2"/>
  <c r="BD66" i="2"/>
  <c r="BB66" i="2"/>
  <c r="AZ66" i="2"/>
  <c r="AX66" i="2"/>
  <c r="AV66" i="2"/>
  <c r="AT66" i="2"/>
  <c r="AR66" i="2"/>
  <c r="AP66" i="2"/>
  <c r="AN66" i="2"/>
  <c r="AL66" i="2"/>
  <c r="AJ66" i="2"/>
  <c r="AH66" i="2"/>
  <c r="AE66" i="2"/>
  <c r="AC66" i="2"/>
  <c r="AA66" i="2"/>
  <c r="Y66" i="2"/>
  <c r="W66" i="2"/>
  <c r="T66" i="2"/>
  <c r="R66" i="2"/>
  <c r="P66" i="2"/>
  <c r="N66" i="2"/>
  <c r="L66" i="2"/>
  <c r="J66" i="2"/>
  <c r="B66" i="2"/>
  <c r="BL65" i="2"/>
  <c r="BJ65" i="2"/>
  <c r="BH65" i="2"/>
  <c r="BF65" i="2"/>
  <c r="BD65" i="2"/>
  <c r="BB65" i="2"/>
  <c r="AZ65" i="2"/>
  <c r="AX65" i="2"/>
  <c r="AV65" i="2"/>
  <c r="AT65" i="2"/>
  <c r="AR65" i="2"/>
  <c r="AP65" i="2"/>
  <c r="AN65" i="2"/>
  <c r="AL65" i="2"/>
  <c r="AJ65" i="2"/>
  <c r="AH65" i="2"/>
  <c r="AE65" i="2"/>
  <c r="AC65" i="2"/>
  <c r="AA65" i="2"/>
  <c r="Y65" i="2"/>
  <c r="W65" i="2"/>
  <c r="T65" i="2"/>
  <c r="R65" i="2"/>
  <c r="P65" i="2"/>
  <c r="N65" i="2"/>
  <c r="L65" i="2"/>
  <c r="J65" i="2"/>
  <c r="B65" i="2"/>
  <c r="BL64" i="2"/>
  <c r="BJ64" i="2"/>
  <c r="BH64" i="2"/>
  <c r="BF64" i="2"/>
  <c r="BD64" i="2"/>
  <c r="BB64" i="2"/>
  <c r="AZ64" i="2"/>
  <c r="AX64" i="2"/>
  <c r="AV64" i="2"/>
  <c r="AT64" i="2"/>
  <c r="AR64" i="2"/>
  <c r="AP64" i="2"/>
  <c r="AN64" i="2"/>
  <c r="AL64" i="2"/>
  <c r="AJ64" i="2"/>
  <c r="AH64" i="2"/>
  <c r="AE64" i="2"/>
  <c r="AC64" i="2"/>
  <c r="AA64" i="2"/>
  <c r="Y64" i="2"/>
  <c r="W64" i="2"/>
  <c r="T64" i="2"/>
  <c r="R64" i="2"/>
  <c r="P64" i="2"/>
  <c r="N64" i="2"/>
  <c r="L64" i="2"/>
  <c r="J64" i="2"/>
  <c r="B64" i="2"/>
  <c r="BL63" i="2"/>
  <c r="BJ63" i="2"/>
  <c r="BH63" i="2"/>
  <c r="BF63" i="2"/>
  <c r="BD63" i="2"/>
  <c r="BB63" i="2"/>
  <c r="AZ63" i="2"/>
  <c r="AX63" i="2"/>
  <c r="AV63" i="2"/>
  <c r="AT63" i="2"/>
  <c r="AR63" i="2"/>
  <c r="AP63" i="2"/>
  <c r="AN63" i="2"/>
  <c r="AL63" i="2"/>
  <c r="AJ63" i="2"/>
  <c r="AH63" i="2"/>
  <c r="AE63" i="2"/>
  <c r="AC63" i="2"/>
  <c r="AA63" i="2"/>
  <c r="Y63" i="2"/>
  <c r="W63" i="2"/>
  <c r="T63" i="2"/>
  <c r="R63" i="2"/>
  <c r="P63" i="2"/>
  <c r="N63" i="2"/>
  <c r="L63" i="2"/>
  <c r="J63" i="2"/>
  <c r="B63" i="2"/>
  <c r="BL62" i="2"/>
  <c r="BJ62" i="2"/>
  <c r="BH62" i="2"/>
  <c r="BF62" i="2"/>
  <c r="BD62" i="2"/>
  <c r="BB62" i="2"/>
  <c r="AZ62" i="2"/>
  <c r="AX62" i="2"/>
  <c r="AV62" i="2"/>
  <c r="AT62" i="2"/>
  <c r="AR62" i="2"/>
  <c r="AP62" i="2"/>
  <c r="AN62" i="2"/>
  <c r="AL62" i="2"/>
  <c r="AJ62" i="2"/>
  <c r="AH62" i="2"/>
  <c r="AE62" i="2"/>
  <c r="AC62" i="2"/>
  <c r="AA62" i="2"/>
  <c r="Y62" i="2"/>
  <c r="W62" i="2"/>
  <c r="T62" i="2"/>
  <c r="R62" i="2"/>
  <c r="P62" i="2"/>
  <c r="N62" i="2"/>
  <c r="L62" i="2"/>
  <c r="J62" i="2"/>
  <c r="B62" i="2"/>
  <c r="B61" i="2"/>
  <c r="BL59" i="2"/>
  <c r="BJ59" i="2"/>
  <c r="BH59" i="2"/>
  <c r="BF59" i="2"/>
  <c r="BD59" i="2"/>
  <c r="BB59" i="2"/>
  <c r="AZ59" i="2"/>
  <c r="AX59" i="2"/>
  <c r="AV59" i="2"/>
  <c r="AT59" i="2"/>
  <c r="AR59" i="2"/>
  <c r="AP59" i="2"/>
  <c r="AN59" i="2"/>
  <c r="AL59" i="2"/>
  <c r="AJ59" i="2"/>
  <c r="AH59" i="2"/>
  <c r="AE59" i="2"/>
  <c r="AC59" i="2"/>
  <c r="AA59" i="2"/>
  <c r="Y59" i="2"/>
  <c r="W59" i="2"/>
  <c r="T59" i="2"/>
  <c r="R59" i="2"/>
  <c r="P59" i="2"/>
  <c r="N59" i="2"/>
  <c r="L59" i="2"/>
  <c r="J59" i="2"/>
  <c r="BL58" i="2"/>
  <c r="BJ58" i="2"/>
  <c r="BH58" i="2"/>
  <c r="BF58" i="2"/>
  <c r="BD58" i="2"/>
  <c r="BB58" i="2"/>
  <c r="AZ58" i="2"/>
  <c r="AX58" i="2"/>
  <c r="AV58" i="2"/>
  <c r="AT58" i="2"/>
  <c r="AR58" i="2"/>
  <c r="AP58" i="2"/>
  <c r="AN58" i="2"/>
  <c r="AL58" i="2"/>
  <c r="AJ58" i="2"/>
  <c r="AH58" i="2"/>
  <c r="AE58" i="2"/>
  <c r="AC58" i="2"/>
  <c r="AA58" i="2"/>
  <c r="Y58" i="2"/>
  <c r="W58" i="2"/>
  <c r="T58" i="2"/>
  <c r="R58" i="2"/>
  <c r="P58" i="2"/>
  <c r="N58" i="2"/>
  <c r="L58" i="2"/>
  <c r="J58" i="2"/>
  <c r="BL57" i="2"/>
  <c r="BJ57" i="2"/>
  <c r="BH57" i="2"/>
  <c r="BF57" i="2"/>
  <c r="BD57" i="2"/>
  <c r="BB57" i="2"/>
  <c r="AZ57" i="2"/>
  <c r="AX57" i="2"/>
  <c r="AV57" i="2"/>
  <c r="AT57" i="2"/>
  <c r="AR57" i="2"/>
  <c r="AP57" i="2"/>
  <c r="AN57" i="2"/>
  <c r="AL57" i="2"/>
  <c r="AJ57" i="2"/>
  <c r="AH57" i="2"/>
  <c r="AE57" i="2"/>
  <c r="AC57" i="2"/>
  <c r="AA57" i="2"/>
  <c r="Y57" i="2"/>
  <c r="W57" i="2"/>
  <c r="T57" i="2"/>
  <c r="R57" i="2"/>
  <c r="P57" i="2"/>
  <c r="N57" i="2"/>
  <c r="L57" i="2"/>
  <c r="J57" i="2"/>
  <c r="BL56" i="2"/>
  <c r="BJ56" i="2"/>
  <c r="BH56" i="2"/>
  <c r="BF56" i="2"/>
  <c r="BD56" i="2"/>
  <c r="BB56" i="2"/>
  <c r="AZ56" i="2"/>
  <c r="AX56" i="2"/>
  <c r="AV56" i="2"/>
  <c r="AT56" i="2"/>
  <c r="AR56" i="2"/>
  <c r="AP56" i="2"/>
  <c r="AN56" i="2"/>
  <c r="AL56" i="2"/>
  <c r="AJ56" i="2"/>
  <c r="AH56" i="2"/>
  <c r="AE56" i="2"/>
  <c r="AC56" i="2"/>
  <c r="AA56" i="2"/>
  <c r="Y56" i="2"/>
  <c r="W56" i="2"/>
  <c r="T56" i="2"/>
  <c r="R56" i="2"/>
  <c r="P56" i="2"/>
  <c r="N56" i="2"/>
  <c r="L56" i="2"/>
  <c r="J56" i="2"/>
  <c r="BL55" i="2"/>
  <c r="BJ55" i="2"/>
  <c r="BH55" i="2"/>
  <c r="BF55" i="2"/>
  <c r="BD55" i="2"/>
  <c r="BB55" i="2"/>
  <c r="AZ55" i="2"/>
  <c r="AX55" i="2"/>
  <c r="AV55" i="2"/>
  <c r="AT55" i="2"/>
  <c r="AR55" i="2"/>
  <c r="AP55" i="2"/>
  <c r="AN55" i="2"/>
  <c r="AL55" i="2"/>
  <c r="AJ55" i="2"/>
  <c r="AH55" i="2"/>
  <c r="AE55" i="2"/>
  <c r="AC55" i="2"/>
  <c r="AA55" i="2"/>
  <c r="Y55" i="2"/>
  <c r="W55" i="2"/>
  <c r="T55" i="2"/>
  <c r="R55" i="2"/>
  <c r="P55" i="2"/>
  <c r="N55" i="2"/>
  <c r="L55" i="2"/>
  <c r="J55" i="2"/>
  <c r="B55" i="2"/>
  <c r="BL54" i="2"/>
  <c r="BJ54" i="2"/>
  <c r="BH54" i="2"/>
  <c r="BF54" i="2"/>
  <c r="BD54" i="2"/>
  <c r="BB54" i="2"/>
  <c r="AZ54" i="2"/>
  <c r="AX54" i="2"/>
  <c r="AV54" i="2"/>
  <c r="AT54" i="2"/>
  <c r="AR54" i="2"/>
  <c r="AP54" i="2"/>
  <c r="AN54" i="2"/>
  <c r="AL54" i="2"/>
  <c r="AJ54" i="2"/>
  <c r="AH54" i="2"/>
  <c r="AE54" i="2"/>
  <c r="AC54" i="2"/>
  <c r="AA54" i="2"/>
  <c r="Y54" i="2"/>
  <c r="W54" i="2"/>
  <c r="T54" i="2"/>
  <c r="R54" i="2"/>
  <c r="P54" i="2"/>
  <c r="N54" i="2"/>
  <c r="L54" i="2"/>
  <c r="J54" i="2"/>
  <c r="B54" i="2"/>
  <c r="W53" i="2"/>
  <c r="BL52" i="2"/>
  <c r="BJ52" i="2"/>
  <c r="BH52" i="2"/>
  <c r="BF52" i="2"/>
  <c r="BD52" i="2"/>
  <c r="BB52" i="2"/>
  <c r="AZ52" i="2"/>
  <c r="AX52" i="2"/>
  <c r="AV52" i="2"/>
  <c r="AT52" i="2"/>
  <c r="AR52" i="2"/>
  <c r="AP52" i="2"/>
  <c r="AN52" i="2"/>
  <c r="AL52" i="2"/>
  <c r="AJ52" i="2"/>
  <c r="AH52" i="2"/>
  <c r="AE52" i="2"/>
  <c r="AC52" i="2"/>
  <c r="AA52" i="2"/>
  <c r="Y52" i="2"/>
  <c r="W52" i="2"/>
  <c r="T52" i="2"/>
  <c r="R52" i="2"/>
  <c r="P52" i="2"/>
  <c r="N52" i="2"/>
  <c r="L52" i="2"/>
  <c r="J52" i="2"/>
  <c r="B52" i="2"/>
  <c r="W51" i="2"/>
  <c r="T51" i="2"/>
  <c r="R51" i="2"/>
  <c r="W50" i="2"/>
  <c r="T50" i="2"/>
  <c r="R50" i="2"/>
  <c r="BL49" i="2"/>
  <c r="BJ49" i="2"/>
  <c r="BH49" i="2"/>
  <c r="BF49" i="2"/>
  <c r="BD49" i="2"/>
  <c r="BB49" i="2"/>
  <c r="AZ49" i="2"/>
  <c r="AX49" i="2"/>
  <c r="AV49" i="2"/>
  <c r="AT49" i="2"/>
  <c r="AR49" i="2"/>
  <c r="AP49" i="2"/>
  <c r="AN49" i="2"/>
  <c r="AL49" i="2"/>
  <c r="AJ49" i="2"/>
  <c r="AH49" i="2"/>
  <c r="AE49" i="2"/>
  <c r="AC49" i="2"/>
  <c r="AA49" i="2"/>
  <c r="Y49" i="2"/>
  <c r="W49" i="2"/>
  <c r="T49" i="2"/>
  <c r="R49" i="2"/>
  <c r="P49" i="2"/>
  <c r="N49" i="2"/>
  <c r="L49" i="2"/>
  <c r="J49" i="2"/>
  <c r="B49" i="2"/>
  <c r="BL48" i="2"/>
  <c r="BJ48" i="2"/>
  <c r="BH48" i="2"/>
  <c r="BF48" i="2"/>
  <c r="BD48" i="2"/>
  <c r="BB48" i="2"/>
  <c r="AZ48" i="2"/>
  <c r="AX48" i="2"/>
  <c r="AV48" i="2"/>
  <c r="AT48" i="2"/>
  <c r="AR48" i="2"/>
  <c r="AP48" i="2"/>
  <c r="AN48" i="2"/>
  <c r="AL48" i="2"/>
  <c r="AJ48" i="2"/>
  <c r="AH48" i="2"/>
  <c r="AE48" i="2"/>
  <c r="AC48" i="2"/>
  <c r="AA48" i="2"/>
  <c r="Y48" i="2"/>
  <c r="W48" i="2"/>
  <c r="T48" i="2"/>
  <c r="R48" i="2"/>
  <c r="P48" i="2"/>
  <c r="N48" i="2"/>
  <c r="L48" i="2"/>
  <c r="J48" i="2"/>
  <c r="B48" i="2"/>
  <c r="BL47" i="2"/>
  <c r="BJ47" i="2"/>
  <c r="BH47" i="2"/>
  <c r="BF47" i="2"/>
  <c r="BD47" i="2"/>
  <c r="BB47" i="2"/>
  <c r="AZ47" i="2"/>
  <c r="AX47" i="2"/>
  <c r="AV47" i="2"/>
  <c r="AT47" i="2"/>
  <c r="AR47" i="2"/>
  <c r="AP47" i="2"/>
  <c r="AN47" i="2"/>
  <c r="AL47" i="2"/>
  <c r="AJ47" i="2"/>
  <c r="AH47" i="2"/>
  <c r="AE47" i="2"/>
  <c r="AC47" i="2"/>
  <c r="AA47" i="2"/>
  <c r="Y47" i="2"/>
  <c r="W47" i="2"/>
  <c r="T47" i="2"/>
  <c r="R47" i="2"/>
  <c r="P47" i="2"/>
  <c r="N47" i="2"/>
  <c r="L47" i="2"/>
  <c r="J47" i="2"/>
  <c r="B47" i="2"/>
  <c r="BL46" i="2"/>
  <c r="BJ46" i="2"/>
  <c r="BH46" i="2"/>
  <c r="BF46" i="2"/>
  <c r="BD46" i="2"/>
  <c r="BB46" i="2"/>
  <c r="AZ46" i="2"/>
  <c r="AX46" i="2"/>
  <c r="AV46" i="2"/>
  <c r="AT46" i="2"/>
  <c r="AR46" i="2"/>
  <c r="AP46" i="2"/>
  <c r="AN46" i="2"/>
  <c r="AL46" i="2"/>
  <c r="AJ46" i="2"/>
  <c r="AH46" i="2"/>
  <c r="AE46" i="2"/>
  <c r="AC46" i="2"/>
  <c r="AA46" i="2"/>
  <c r="Y46" i="2"/>
  <c r="W46" i="2"/>
  <c r="T46" i="2"/>
  <c r="R46" i="2"/>
  <c r="P46" i="2"/>
  <c r="N46" i="2"/>
  <c r="L46" i="2"/>
  <c r="J46" i="2"/>
  <c r="B46" i="2"/>
  <c r="BL45" i="2"/>
  <c r="BJ45" i="2"/>
  <c r="BH45" i="2"/>
  <c r="BF45" i="2"/>
  <c r="BD45" i="2"/>
  <c r="BB45" i="2"/>
  <c r="AZ45" i="2"/>
  <c r="AX45" i="2"/>
  <c r="AV45" i="2"/>
  <c r="AT45" i="2"/>
  <c r="AR45" i="2"/>
  <c r="AP45" i="2"/>
  <c r="AN45" i="2"/>
  <c r="AL45" i="2"/>
  <c r="AJ45" i="2"/>
  <c r="AH45" i="2"/>
  <c r="AE45" i="2"/>
  <c r="AC45" i="2"/>
  <c r="AA45" i="2"/>
  <c r="Y45" i="2"/>
  <c r="W45" i="2"/>
  <c r="T45" i="2"/>
  <c r="R45" i="2"/>
  <c r="P45" i="2"/>
  <c r="N45" i="2"/>
  <c r="L45" i="2"/>
  <c r="J45" i="2"/>
  <c r="B45" i="2"/>
  <c r="BL44" i="2"/>
  <c r="BJ44" i="2"/>
  <c r="BH44" i="2"/>
  <c r="BF44" i="2"/>
  <c r="BD44" i="2"/>
  <c r="BB44" i="2"/>
  <c r="AZ44" i="2"/>
  <c r="AX44" i="2"/>
  <c r="AV44" i="2"/>
  <c r="AT44" i="2"/>
  <c r="AR44" i="2"/>
  <c r="AP44" i="2"/>
  <c r="AN44" i="2"/>
  <c r="AL44" i="2"/>
  <c r="AJ44" i="2"/>
  <c r="AH44" i="2"/>
  <c r="AE44" i="2"/>
  <c r="AC44" i="2"/>
  <c r="AA44" i="2"/>
  <c r="Y44" i="2"/>
  <c r="W44" i="2"/>
  <c r="T44" i="2"/>
  <c r="R44" i="2"/>
  <c r="P44" i="2"/>
  <c r="N44" i="2"/>
  <c r="L44" i="2"/>
  <c r="J44" i="2"/>
  <c r="B44" i="2"/>
  <c r="BL43" i="2"/>
  <c r="BJ43" i="2"/>
  <c r="BH43" i="2"/>
  <c r="BF43" i="2"/>
  <c r="BD43" i="2"/>
  <c r="BB43" i="2"/>
  <c r="AZ43" i="2"/>
  <c r="AX43" i="2"/>
  <c r="AV43" i="2"/>
  <c r="AT43" i="2"/>
  <c r="AR43" i="2"/>
  <c r="AP43" i="2"/>
  <c r="AN43" i="2"/>
  <c r="AL43" i="2"/>
  <c r="AJ43" i="2"/>
  <c r="AH43" i="2"/>
  <c r="AE43" i="2"/>
  <c r="AC43" i="2"/>
  <c r="AA43" i="2"/>
  <c r="Y43" i="2"/>
  <c r="W43" i="2"/>
  <c r="T43" i="2"/>
  <c r="R43" i="2"/>
  <c r="P43" i="2"/>
  <c r="N43" i="2"/>
  <c r="L43" i="2"/>
  <c r="J43" i="2"/>
  <c r="B43" i="2"/>
  <c r="BL42" i="2"/>
  <c r="BJ42" i="2"/>
  <c r="BH42" i="2"/>
  <c r="BF42" i="2"/>
  <c r="BD42" i="2"/>
  <c r="BB42" i="2"/>
  <c r="AZ42" i="2"/>
  <c r="AX42" i="2"/>
  <c r="AV42" i="2"/>
  <c r="AT42" i="2"/>
  <c r="AR42" i="2"/>
  <c r="AP42" i="2"/>
  <c r="AN42" i="2"/>
  <c r="AL42" i="2"/>
  <c r="AJ42" i="2"/>
  <c r="AH42" i="2"/>
  <c r="AE42" i="2"/>
  <c r="AC42" i="2"/>
  <c r="AA42" i="2"/>
  <c r="Y42" i="2"/>
  <c r="W42" i="2"/>
  <c r="T42" i="2"/>
  <c r="R42" i="2"/>
  <c r="P42" i="2"/>
  <c r="N42" i="2"/>
  <c r="L42" i="2"/>
  <c r="J42" i="2"/>
  <c r="B42" i="2"/>
  <c r="BL41" i="2"/>
  <c r="BL130" i="2" s="1"/>
  <c r="BJ41" i="2"/>
  <c r="BH41" i="2"/>
  <c r="BF41" i="2"/>
  <c r="BD41" i="2"/>
  <c r="BB41" i="2"/>
  <c r="AZ41" i="2"/>
  <c r="AX41" i="2"/>
  <c r="AV41" i="2"/>
  <c r="AT41" i="2"/>
  <c r="AR41" i="2"/>
  <c r="AP41" i="2"/>
  <c r="AP130" i="2" s="1"/>
  <c r="AN41" i="2"/>
  <c r="AN130" i="2" s="1"/>
  <c r="AL41" i="2"/>
  <c r="AL130" i="2" s="1"/>
  <c r="AJ41" i="2"/>
  <c r="AJ130" i="2" s="1"/>
  <c r="AH41" i="2"/>
  <c r="AE41" i="2"/>
  <c r="AC41" i="2"/>
  <c r="AA41" i="2"/>
  <c r="Y41" i="2"/>
  <c r="W41" i="2"/>
  <c r="T41" i="2"/>
  <c r="R41" i="2"/>
  <c r="P41" i="2"/>
  <c r="N41" i="2"/>
  <c r="L41" i="2"/>
  <c r="L130" i="2" s="1"/>
  <c r="J41" i="2"/>
  <c r="J130" i="2" s="1"/>
  <c r="B41" i="2"/>
  <c r="AH40" i="2"/>
  <c r="W40" i="2"/>
  <c r="T40" i="2"/>
  <c r="R40" i="2"/>
  <c r="BL39" i="2"/>
  <c r="BJ39" i="2"/>
  <c r="BH39" i="2"/>
  <c r="BF39" i="2"/>
  <c r="BD39" i="2"/>
  <c r="BB39" i="2"/>
  <c r="AZ39" i="2"/>
  <c r="AX39" i="2"/>
  <c r="AV39" i="2"/>
  <c r="AT39" i="2"/>
  <c r="AR39" i="2"/>
  <c r="AP39" i="2"/>
  <c r="AN39" i="2"/>
  <c r="AL39" i="2"/>
  <c r="AJ39" i="2"/>
  <c r="AH39" i="2"/>
  <c r="AE39" i="2"/>
  <c r="AC39" i="2"/>
  <c r="AA39" i="2"/>
  <c r="Y39" i="2"/>
  <c r="W39" i="2"/>
  <c r="T39" i="2"/>
  <c r="R39" i="2"/>
  <c r="P39" i="2"/>
  <c r="N39" i="2"/>
  <c r="L39" i="2"/>
  <c r="J39" i="2"/>
  <c r="B39" i="2"/>
  <c r="BL38" i="2"/>
  <c r="BJ38" i="2"/>
  <c r="BH38" i="2"/>
  <c r="BF38" i="2"/>
  <c r="BD38" i="2"/>
  <c r="BB38" i="2"/>
  <c r="AZ38" i="2"/>
  <c r="AX38" i="2"/>
  <c r="AV38" i="2"/>
  <c r="AT38" i="2"/>
  <c r="AR38" i="2"/>
  <c r="AP38" i="2"/>
  <c r="AN38" i="2"/>
  <c r="AL38" i="2"/>
  <c r="AJ38" i="2"/>
  <c r="AH38" i="2"/>
  <c r="AE38" i="2"/>
  <c r="AC38" i="2"/>
  <c r="AA38" i="2"/>
  <c r="Y38" i="2"/>
  <c r="W38" i="2"/>
  <c r="T38" i="2"/>
  <c r="R38" i="2"/>
  <c r="P38" i="2"/>
  <c r="N38" i="2"/>
  <c r="L38" i="2"/>
  <c r="J38" i="2"/>
  <c r="B38" i="2"/>
  <c r="BL37" i="2"/>
  <c r="BJ37" i="2"/>
  <c r="BH37" i="2"/>
  <c r="BF37" i="2"/>
  <c r="BD37" i="2"/>
  <c r="BB37" i="2"/>
  <c r="AZ37" i="2"/>
  <c r="AX37" i="2"/>
  <c r="AV37" i="2"/>
  <c r="AT37" i="2"/>
  <c r="AR37" i="2"/>
  <c r="AP37" i="2"/>
  <c r="AN37" i="2"/>
  <c r="AL37" i="2"/>
  <c r="AJ37" i="2"/>
  <c r="AH37" i="2"/>
  <c r="AE37" i="2"/>
  <c r="AC37" i="2"/>
  <c r="AA37" i="2"/>
  <c r="Y37" i="2"/>
  <c r="W37" i="2"/>
  <c r="T37" i="2"/>
  <c r="R37" i="2"/>
  <c r="P37" i="2"/>
  <c r="N37" i="2"/>
  <c r="L37" i="2"/>
  <c r="J37" i="2"/>
  <c r="B37" i="2"/>
  <c r="BL36" i="2"/>
  <c r="BJ36" i="2"/>
  <c r="BH36" i="2"/>
  <c r="BF36" i="2"/>
  <c r="BD36" i="2"/>
  <c r="BB36" i="2"/>
  <c r="AZ36" i="2"/>
  <c r="AX36" i="2"/>
  <c r="AV36" i="2"/>
  <c r="AT36" i="2"/>
  <c r="AR36" i="2"/>
  <c r="AP36" i="2"/>
  <c r="AN36" i="2"/>
  <c r="AL36" i="2"/>
  <c r="AJ36" i="2"/>
  <c r="AH36" i="2"/>
  <c r="AE36" i="2"/>
  <c r="AC36" i="2"/>
  <c r="AA36" i="2"/>
  <c r="Y36" i="2"/>
  <c r="W36" i="2"/>
  <c r="T36" i="2"/>
  <c r="R36" i="2"/>
  <c r="P36" i="2"/>
  <c r="N36" i="2"/>
  <c r="L36" i="2"/>
  <c r="J36" i="2"/>
  <c r="B36" i="2"/>
  <c r="BL35" i="2"/>
  <c r="BJ35" i="2"/>
  <c r="BH35" i="2"/>
  <c r="BF35" i="2"/>
  <c r="BD35" i="2"/>
  <c r="BB35" i="2"/>
  <c r="AZ35" i="2"/>
  <c r="AX35" i="2"/>
  <c r="AV35" i="2"/>
  <c r="AT35" i="2"/>
  <c r="AR35" i="2"/>
  <c r="AP35" i="2"/>
  <c r="AN35" i="2"/>
  <c r="AL35" i="2"/>
  <c r="AJ35" i="2"/>
  <c r="AH35" i="2"/>
  <c r="AE35" i="2"/>
  <c r="AC35" i="2"/>
  <c r="AA35" i="2"/>
  <c r="Y35" i="2"/>
  <c r="W35" i="2"/>
  <c r="T35" i="2"/>
  <c r="R35" i="2"/>
  <c r="P35" i="2"/>
  <c r="N35" i="2"/>
  <c r="L35" i="2"/>
  <c r="J35" i="2"/>
  <c r="B35" i="2"/>
  <c r="BL34" i="2"/>
  <c r="BJ34" i="2"/>
  <c r="BH34" i="2"/>
  <c r="BF34" i="2"/>
  <c r="BD34" i="2"/>
  <c r="BB34" i="2"/>
  <c r="AZ34" i="2"/>
  <c r="AX34" i="2"/>
  <c r="AV34" i="2"/>
  <c r="AT34" i="2"/>
  <c r="AR34" i="2"/>
  <c r="AP34" i="2"/>
  <c r="AN34" i="2"/>
  <c r="AL34" i="2"/>
  <c r="AJ34" i="2"/>
  <c r="AH34" i="2"/>
  <c r="AE34" i="2"/>
  <c r="AC34" i="2"/>
  <c r="AA34" i="2"/>
  <c r="Y34" i="2"/>
  <c r="W34" i="2"/>
  <c r="T34" i="2"/>
  <c r="R34" i="2"/>
  <c r="P34" i="2"/>
  <c r="N34" i="2"/>
  <c r="L34" i="2"/>
  <c r="J34" i="2"/>
  <c r="B34" i="2"/>
  <c r="BL33" i="2"/>
  <c r="BJ33" i="2"/>
  <c r="BH33" i="2"/>
  <c r="BF33" i="2"/>
  <c r="BD33" i="2"/>
  <c r="BB33" i="2"/>
  <c r="AZ33" i="2"/>
  <c r="AX33" i="2"/>
  <c r="AV33" i="2"/>
  <c r="AT33" i="2"/>
  <c r="AR33" i="2"/>
  <c r="AP33" i="2"/>
  <c r="AN33" i="2"/>
  <c r="AL33" i="2"/>
  <c r="AJ33" i="2"/>
  <c r="AH33" i="2"/>
  <c r="AE33" i="2"/>
  <c r="AC33" i="2"/>
  <c r="AA33" i="2"/>
  <c r="Y33" i="2"/>
  <c r="W33" i="2"/>
  <c r="T33" i="2"/>
  <c r="R33" i="2"/>
  <c r="P33" i="2"/>
  <c r="N33" i="2"/>
  <c r="L33" i="2"/>
  <c r="J33" i="2"/>
  <c r="B33" i="2"/>
  <c r="BL32" i="2"/>
  <c r="BJ32" i="2"/>
  <c r="BH32" i="2"/>
  <c r="BF32" i="2"/>
  <c r="BD32" i="2"/>
  <c r="BB32" i="2"/>
  <c r="AZ32" i="2"/>
  <c r="AX32" i="2"/>
  <c r="AV32" i="2"/>
  <c r="AT32" i="2"/>
  <c r="AR32" i="2"/>
  <c r="AP32" i="2"/>
  <c r="AN32" i="2"/>
  <c r="AL32" i="2"/>
  <c r="AJ32" i="2"/>
  <c r="AH32" i="2"/>
  <c r="AE32" i="2"/>
  <c r="AC32" i="2"/>
  <c r="AA32" i="2"/>
  <c r="Y32" i="2"/>
  <c r="W32" i="2"/>
  <c r="T32" i="2"/>
  <c r="R32" i="2"/>
  <c r="P32" i="2"/>
  <c r="N32" i="2"/>
  <c r="L32" i="2"/>
  <c r="J32" i="2"/>
  <c r="B32" i="2"/>
  <c r="BL31" i="2"/>
  <c r="BJ31" i="2"/>
  <c r="BH31" i="2"/>
  <c r="BF31" i="2"/>
  <c r="BD31" i="2"/>
  <c r="BB31" i="2"/>
  <c r="AZ31" i="2"/>
  <c r="AX31" i="2"/>
  <c r="AV31" i="2"/>
  <c r="AT31" i="2"/>
  <c r="AR31" i="2"/>
  <c r="AP31" i="2"/>
  <c r="AN31" i="2"/>
  <c r="AL31" i="2"/>
  <c r="AJ31" i="2"/>
  <c r="AH31" i="2"/>
  <c r="AE31" i="2"/>
  <c r="AC31" i="2"/>
  <c r="AA31" i="2"/>
  <c r="Y31" i="2"/>
  <c r="W31" i="2"/>
  <c r="T31" i="2"/>
  <c r="R31" i="2"/>
  <c r="P31" i="2"/>
  <c r="N31" i="2"/>
  <c r="L31" i="2"/>
  <c r="J31" i="2"/>
  <c r="B31" i="2"/>
  <c r="BL30" i="2"/>
  <c r="BJ30" i="2"/>
  <c r="BH30" i="2"/>
  <c r="BF30" i="2"/>
  <c r="BD30" i="2"/>
  <c r="BB30" i="2"/>
  <c r="AZ30" i="2"/>
  <c r="AX30" i="2"/>
  <c r="AV30" i="2"/>
  <c r="AT30" i="2"/>
  <c r="AR30" i="2"/>
  <c r="AP30" i="2"/>
  <c r="AN30" i="2"/>
  <c r="AL30" i="2"/>
  <c r="AJ30" i="2"/>
  <c r="AH30" i="2"/>
  <c r="AE30" i="2"/>
  <c r="AC30" i="2"/>
  <c r="AA30" i="2"/>
  <c r="Y30" i="2"/>
  <c r="W30" i="2"/>
  <c r="T30" i="2"/>
  <c r="R30" i="2"/>
  <c r="P30" i="2"/>
  <c r="N30" i="2"/>
  <c r="L30" i="2"/>
  <c r="J30" i="2"/>
  <c r="B30" i="2"/>
  <c r="BL29" i="2"/>
  <c r="BJ29" i="2"/>
  <c r="BH29" i="2"/>
  <c r="BF29" i="2"/>
  <c r="BD29" i="2"/>
  <c r="BB29" i="2"/>
  <c r="AZ29" i="2"/>
  <c r="AX29" i="2"/>
  <c r="AV29" i="2"/>
  <c r="AT29" i="2"/>
  <c r="AR29" i="2"/>
  <c r="AP29" i="2"/>
  <c r="AN29" i="2"/>
  <c r="AL29" i="2"/>
  <c r="AJ29" i="2"/>
  <c r="AH29" i="2"/>
  <c r="AE29" i="2"/>
  <c r="AC29" i="2"/>
  <c r="AA29" i="2"/>
  <c r="Y29" i="2"/>
  <c r="W29" i="2"/>
  <c r="T29" i="2"/>
  <c r="R29" i="2"/>
  <c r="P29" i="2"/>
  <c r="N29" i="2"/>
  <c r="L29" i="2"/>
  <c r="J29" i="2"/>
  <c r="B29" i="2"/>
  <c r="BL28" i="2"/>
  <c r="BJ28" i="2"/>
  <c r="BH28" i="2"/>
  <c r="BF28" i="2"/>
  <c r="BD28" i="2"/>
  <c r="BB28" i="2"/>
  <c r="AZ28" i="2"/>
  <c r="AX28" i="2"/>
  <c r="AV28" i="2"/>
  <c r="AT28" i="2"/>
  <c r="AR28" i="2"/>
  <c r="AP28" i="2"/>
  <c r="AN28" i="2"/>
  <c r="AL28" i="2"/>
  <c r="AJ28" i="2"/>
  <c r="AH28" i="2"/>
  <c r="AE28" i="2"/>
  <c r="AC28" i="2"/>
  <c r="AA28" i="2"/>
  <c r="Y28" i="2"/>
  <c r="W28" i="2"/>
  <c r="T28" i="2"/>
  <c r="R28" i="2"/>
  <c r="P28" i="2"/>
  <c r="N28" i="2"/>
  <c r="L28" i="2"/>
  <c r="J28" i="2"/>
  <c r="B28" i="2"/>
  <c r="BL27" i="2"/>
  <c r="BJ27" i="2"/>
  <c r="BH27" i="2"/>
  <c r="BF27" i="2"/>
  <c r="BD27" i="2"/>
  <c r="BB27" i="2"/>
  <c r="AZ27" i="2"/>
  <c r="AX27" i="2"/>
  <c r="AV27" i="2"/>
  <c r="AT27" i="2"/>
  <c r="AR27" i="2"/>
  <c r="AP27" i="2"/>
  <c r="AN27" i="2"/>
  <c r="AL27" i="2"/>
  <c r="AJ27" i="2"/>
  <c r="AH27" i="2"/>
  <c r="AE27" i="2"/>
  <c r="AC27" i="2"/>
  <c r="AA27" i="2"/>
  <c r="Y27" i="2"/>
  <c r="W27" i="2"/>
  <c r="T27" i="2"/>
  <c r="R27" i="2"/>
  <c r="P27" i="2"/>
  <c r="N27" i="2"/>
  <c r="L27" i="2"/>
  <c r="J27" i="2"/>
  <c r="B27" i="2"/>
  <c r="BL26" i="2"/>
  <c r="BJ26" i="2"/>
  <c r="BH26" i="2"/>
  <c r="BF26" i="2"/>
  <c r="BD26" i="2"/>
  <c r="BB26" i="2"/>
  <c r="AZ26" i="2"/>
  <c r="AX26" i="2"/>
  <c r="AV26" i="2"/>
  <c r="AT26" i="2"/>
  <c r="AR26" i="2"/>
  <c r="AP26" i="2"/>
  <c r="AN26" i="2"/>
  <c r="AL26" i="2"/>
  <c r="AJ26" i="2"/>
  <c r="AH26" i="2"/>
  <c r="AE26" i="2"/>
  <c r="AC26" i="2"/>
  <c r="AA26" i="2"/>
  <c r="Y26" i="2"/>
  <c r="W26" i="2"/>
  <c r="T26" i="2"/>
  <c r="R26" i="2"/>
  <c r="P26" i="2"/>
  <c r="N26" i="2"/>
  <c r="L26" i="2"/>
  <c r="J26" i="2"/>
  <c r="B26" i="2"/>
  <c r="BL25" i="2"/>
  <c r="BJ25" i="2"/>
  <c r="BH25" i="2"/>
  <c r="BF25" i="2"/>
  <c r="BD25" i="2"/>
  <c r="BB25" i="2"/>
  <c r="AZ25" i="2"/>
  <c r="AX25" i="2"/>
  <c r="AV25" i="2"/>
  <c r="AT25" i="2"/>
  <c r="AR25" i="2"/>
  <c r="AP25" i="2"/>
  <c r="AN25" i="2"/>
  <c r="AL25" i="2"/>
  <c r="AJ25" i="2"/>
  <c r="AH25" i="2"/>
  <c r="AE25" i="2"/>
  <c r="AC25" i="2"/>
  <c r="AA25" i="2"/>
  <c r="Y25" i="2"/>
  <c r="W25" i="2"/>
  <c r="T25" i="2"/>
  <c r="R25" i="2"/>
  <c r="P25" i="2"/>
  <c r="N25" i="2"/>
  <c r="L25" i="2"/>
  <c r="J25" i="2"/>
  <c r="B25" i="2"/>
  <c r="BL24" i="2"/>
  <c r="BJ24" i="2"/>
  <c r="BH24" i="2"/>
  <c r="BF24" i="2"/>
  <c r="BD24" i="2"/>
  <c r="BB24" i="2"/>
  <c r="AZ24" i="2"/>
  <c r="AX24" i="2"/>
  <c r="AV24" i="2"/>
  <c r="AT24" i="2"/>
  <c r="AR24" i="2"/>
  <c r="AP24" i="2"/>
  <c r="AN24" i="2"/>
  <c r="AL24" i="2"/>
  <c r="AJ24" i="2"/>
  <c r="AH24" i="2"/>
  <c r="AE24" i="2"/>
  <c r="AC24" i="2"/>
  <c r="AA24" i="2"/>
  <c r="Y24" i="2"/>
  <c r="W24" i="2"/>
  <c r="T24" i="2"/>
  <c r="R24" i="2"/>
  <c r="P24" i="2"/>
  <c r="N24" i="2"/>
  <c r="L24" i="2"/>
  <c r="J24" i="2"/>
  <c r="B24" i="2"/>
  <c r="BL23" i="2"/>
  <c r="BJ23" i="2"/>
  <c r="BH23" i="2"/>
  <c r="BF23" i="2"/>
  <c r="BD23" i="2"/>
  <c r="BB23" i="2"/>
  <c r="AZ23" i="2"/>
  <c r="AX23" i="2"/>
  <c r="AV23" i="2"/>
  <c r="AT23" i="2"/>
  <c r="AR23" i="2"/>
  <c r="AP23" i="2"/>
  <c r="AN23" i="2"/>
  <c r="AL23" i="2"/>
  <c r="AJ23" i="2"/>
  <c r="AH23" i="2"/>
  <c r="AE23" i="2"/>
  <c r="AC23" i="2"/>
  <c r="AA23" i="2"/>
  <c r="Y23" i="2"/>
  <c r="W23" i="2"/>
  <c r="T23" i="2"/>
  <c r="R23" i="2"/>
  <c r="P23" i="2"/>
  <c r="N23" i="2"/>
  <c r="L23" i="2"/>
  <c r="J23" i="2"/>
  <c r="B23" i="2"/>
  <c r="BL22" i="2"/>
  <c r="BJ22" i="2"/>
  <c r="BH22" i="2"/>
  <c r="BF22" i="2"/>
  <c r="BD22" i="2"/>
  <c r="BB22" i="2"/>
  <c r="AZ22" i="2"/>
  <c r="AX22" i="2"/>
  <c r="AV22" i="2"/>
  <c r="AT22" i="2"/>
  <c r="AR22" i="2"/>
  <c r="AP22" i="2"/>
  <c r="AN22" i="2"/>
  <c r="AL22" i="2"/>
  <c r="AJ22" i="2"/>
  <c r="AH22" i="2"/>
  <c r="AE22" i="2"/>
  <c r="AC22" i="2"/>
  <c r="AA22" i="2"/>
  <c r="Y22" i="2"/>
  <c r="W22" i="2"/>
  <c r="T22" i="2"/>
  <c r="R22" i="2"/>
  <c r="P22" i="2"/>
  <c r="N22" i="2"/>
  <c r="L22" i="2"/>
  <c r="J22" i="2"/>
  <c r="B22" i="2"/>
  <c r="BL21" i="2"/>
  <c r="BJ21" i="2"/>
  <c r="BH21" i="2"/>
  <c r="BF21" i="2"/>
  <c r="BD21" i="2"/>
  <c r="BB21" i="2"/>
  <c r="AZ21" i="2"/>
  <c r="AX21" i="2"/>
  <c r="AV21" i="2"/>
  <c r="AT21" i="2"/>
  <c r="AR21" i="2"/>
  <c r="AP21" i="2"/>
  <c r="AN21" i="2"/>
  <c r="AL21" i="2"/>
  <c r="AJ21" i="2"/>
  <c r="AH21" i="2"/>
  <c r="AE21" i="2"/>
  <c r="AC21" i="2"/>
  <c r="AA21" i="2"/>
  <c r="Y21" i="2"/>
  <c r="W21" i="2"/>
  <c r="T21" i="2"/>
  <c r="R21" i="2"/>
  <c r="P21" i="2"/>
  <c r="N21" i="2"/>
  <c r="L21" i="2"/>
  <c r="J21" i="2"/>
  <c r="B21" i="2"/>
  <c r="BL20" i="2"/>
  <c r="BJ20" i="2"/>
  <c r="BH20" i="2"/>
  <c r="BF20" i="2"/>
  <c r="BD20" i="2"/>
  <c r="BB20" i="2"/>
  <c r="AZ20" i="2"/>
  <c r="AX20" i="2"/>
  <c r="AV20" i="2"/>
  <c r="AT20" i="2"/>
  <c r="AR20" i="2"/>
  <c r="AP20" i="2"/>
  <c r="AN20" i="2"/>
  <c r="AL20" i="2"/>
  <c r="AJ20" i="2"/>
  <c r="AH20" i="2"/>
  <c r="AE20" i="2"/>
  <c r="AC20" i="2"/>
  <c r="AA20" i="2"/>
  <c r="Y20" i="2"/>
  <c r="W20" i="2"/>
  <c r="T20" i="2"/>
  <c r="R20" i="2"/>
  <c r="P20" i="2"/>
  <c r="N20" i="2"/>
  <c r="L20" i="2"/>
  <c r="J20" i="2"/>
  <c r="B20" i="2"/>
  <c r="BL19" i="2"/>
  <c r="BJ19" i="2"/>
  <c r="BH19" i="2"/>
  <c r="BF19" i="2"/>
  <c r="BD19" i="2"/>
  <c r="BB19" i="2"/>
  <c r="AZ19" i="2"/>
  <c r="AX19" i="2"/>
  <c r="AV19" i="2"/>
  <c r="AT19" i="2"/>
  <c r="AR19" i="2"/>
  <c r="AP19" i="2"/>
  <c r="AN19" i="2"/>
  <c r="AL19" i="2"/>
  <c r="AJ19" i="2"/>
  <c r="AH19" i="2"/>
  <c r="AE19" i="2"/>
  <c r="AC19" i="2"/>
  <c r="AA19" i="2"/>
  <c r="Y19" i="2"/>
  <c r="W19" i="2"/>
  <c r="T19" i="2"/>
  <c r="R19" i="2"/>
  <c r="P19" i="2"/>
  <c r="N19" i="2"/>
  <c r="L19" i="2"/>
  <c r="J19" i="2"/>
  <c r="B19" i="2"/>
  <c r="BL18" i="2"/>
  <c r="BJ18" i="2"/>
  <c r="BJ130" i="2" s="1"/>
  <c r="BH18" i="2"/>
  <c r="BH130" i="2" s="1"/>
  <c r="BF18" i="2"/>
  <c r="BF130" i="2" s="1"/>
  <c r="BD18" i="2"/>
  <c r="BD130" i="2" s="1"/>
  <c r="BB18" i="2"/>
  <c r="BB130" i="2" s="1"/>
  <c r="AZ18" i="2"/>
  <c r="AZ130" i="2" s="1"/>
  <c r="AX18" i="2"/>
  <c r="AX130" i="2" s="1"/>
  <c r="AV18" i="2"/>
  <c r="AV130" i="2" s="1"/>
  <c r="AT18" i="2"/>
  <c r="AT130" i="2" s="1"/>
  <c r="AR18" i="2"/>
  <c r="AR130" i="2" s="1"/>
  <c r="AP18" i="2"/>
  <c r="AN18" i="2"/>
  <c r="AL18" i="2"/>
  <c r="AJ18" i="2"/>
  <c r="AH18" i="2"/>
  <c r="AE18" i="2"/>
  <c r="AE130" i="2" s="1"/>
  <c r="AC18" i="2"/>
  <c r="AC130" i="2" s="1"/>
  <c r="AA18" i="2"/>
  <c r="AA130" i="2" s="1"/>
  <c r="Y18" i="2"/>
  <c r="Y130" i="2" s="1"/>
  <c r="W18" i="2"/>
  <c r="W130" i="2" s="1"/>
  <c r="T18" i="2"/>
  <c r="T130" i="2" s="1"/>
  <c r="R18" i="2"/>
  <c r="R130" i="2" s="1"/>
  <c r="P18" i="2"/>
  <c r="P130" i="2" s="1"/>
  <c r="N18" i="2"/>
  <c r="N130" i="2" s="1"/>
  <c r="L18" i="2"/>
  <c r="J18" i="2"/>
  <c r="B18" i="2"/>
  <c r="B16" i="2"/>
  <c r="B15" i="2"/>
  <c r="B14" i="2"/>
  <c r="B13" i="2"/>
  <c r="D30" i="1"/>
  <c r="E28" i="1"/>
  <c r="D22" i="1"/>
  <c r="P20" i="1"/>
  <c r="C20" i="1"/>
  <c r="I20" i="1" s="1"/>
  <c r="P19" i="1"/>
  <c r="I19" i="1"/>
  <c r="C19" i="1"/>
  <c r="P18" i="1"/>
  <c r="C18" i="1"/>
  <c r="I18" i="1" s="1"/>
  <c r="Q17" i="1"/>
  <c r="P17" i="1"/>
  <c r="C17" i="1"/>
  <c r="Q16" i="1"/>
  <c r="P16" i="1"/>
  <c r="C16" i="1"/>
  <c r="Q15" i="1"/>
  <c r="C15" i="1"/>
  <c r="Q14" i="1"/>
  <c r="C14" i="1"/>
  <c r="Q13" i="1"/>
  <c r="C13" i="1"/>
  <c r="Q12" i="1"/>
  <c r="P12" i="1"/>
  <c r="C12" i="1"/>
  <c r="Q11" i="1"/>
  <c r="P11" i="1"/>
  <c r="C11" i="1"/>
  <c r="T10" i="1"/>
  <c r="Q10" i="1"/>
  <c r="P10" i="1"/>
  <c r="C10" i="1"/>
  <c r="C5" i="1"/>
  <c r="Q2" i="1"/>
  <c r="Q1" i="1"/>
  <c r="C1" i="1"/>
  <c r="E11" i="1" l="1"/>
  <c r="T131" i="2"/>
  <c r="E15" i="1"/>
  <c r="I15" i="1" s="1"/>
  <c r="AX131" i="2"/>
  <c r="E13" i="1"/>
  <c r="L131" i="2"/>
  <c r="F14" i="1"/>
  <c r="AP131" i="2"/>
  <c r="D15" i="1"/>
  <c r="AV131" i="2"/>
  <c r="BJ131" i="2"/>
  <c r="E17" i="1"/>
  <c r="F13" i="1"/>
  <c r="P131" i="2"/>
  <c r="D14" i="1"/>
  <c r="AL131" i="2"/>
  <c r="E14" i="1"/>
  <c r="AN131" i="2"/>
  <c r="F15" i="1"/>
  <c r="AZ131" i="2"/>
  <c r="BB131" i="2"/>
  <c r="D16" i="1"/>
  <c r="F12" i="1"/>
  <c r="AA131" i="2"/>
  <c r="AC131" i="2"/>
  <c r="G12" i="1"/>
  <c r="D17" i="1"/>
  <c r="BH131" i="2"/>
  <c r="AE131" i="2"/>
  <c r="H12" i="1"/>
  <c r="AT131" i="2"/>
  <c r="I14" i="1"/>
  <c r="G14" i="1"/>
  <c r="D11" i="1"/>
  <c r="I11" i="1" s="1"/>
  <c r="R131" i="2"/>
  <c r="J131" i="2"/>
  <c r="D13" i="1"/>
  <c r="I13" i="1" s="1"/>
  <c r="D12" i="1"/>
  <c r="I12" i="1" s="1"/>
  <c r="W131" i="2"/>
  <c r="E12" i="1"/>
  <c r="Y131" i="2"/>
  <c r="BD131" i="2"/>
  <c r="E16" i="1"/>
  <c r="BF131" i="2"/>
  <c r="F16" i="1"/>
  <c r="I16" i="1" s="1"/>
  <c r="AH130" i="2"/>
  <c r="G13" i="1"/>
  <c r="N131" i="2"/>
  <c r="AR131" i="2"/>
  <c r="H14" i="1"/>
  <c r="AJ131" i="2"/>
  <c r="E10" i="1"/>
  <c r="BL131" i="2"/>
  <c r="F17" i="1"/>
  <c r="I17" i="1" s="1"/>
  <c r="S14" i="1"/>
  <c r="S11" i="1"/>
  <c r="S15" i="1"/>
  <c r="S16" i="1"/>
  <c r="S12" i="1"/>
  <c r="S10" i="1"/>
  <c r="S17" i="1"/>
  <c r="S13" i="1"/>
  <c r="AH131" i="2" l="1"/>
  <c r="D10" i="1"/>
  <c r="I10" i="1" s="1"/>
  <c r="D27" i="1" s="1"/>
  <c r="D28" i="1" s="1"/>
  <c r="H13" i="1" l="1"/>
</calcChain>
</file>

<file path=xl/sharedStrings.xml><?xml version="1.0" encoding="utf-8"?>
<sst xmlns="http://schemas.openxmlformats.org/spreadsheetml/2006/main" count="399" uniqueCount="243">
  <si>
    <t>Project:</t>
  </si>
  <si>
    <t>Project Code:</t>
  </si>
  <si>
    <t>BELMORE RESIDENCES 305</t>
  </si>
  <si>
    <t>Ref:</t>
  </si>
  <si>
    <t xml:space="preserve">Client Name: </t>
  </si>
  <si>
    <t>M/s Ellington Properties Developments LLC</t>
  </si>
  <si>
    <t>Consultant:</t>
  </si>
  <si>
    <t>Kling Consult GMBH - Dubai</t>
  </si>
  <si>
    <t>Package Name:</t>
  </si>
  <si>
    <t>Bid Summary</t>
  </si>
  <si>
    <t>Sl No.</t>
  </si>
  <si>
    <t>Description</t>
  </si>
  <si>
    <t>Vendor Name</t>
  </si>
  <si>
    <t>Amount</t>
  </si>
  <si>
    <t>Payment Terms</t>
  </si>
  <si>
    <t>Securities</t>
  </si>
  <si>
    <t>Technical Compliance (Yes/No)</t>
  </si>
  <si>
    <t>Remarks</t>
  </si>
  <si>
    <t>Rev 00</t>
  </si>
  <si>
    <t>Rev 01</t>
  </si>
  <si>
    <t>Rev 02</t>
  </si>
  <si>
    <t>Rev 03</t>
  </si>
  <si>
    <t>Rev 04</t>
  </si>
  <si>
    <t>Final Offer</t>
  </si>
  <si>
    <t>Advance</t>
  </si>
  <si>
    <t>MOS</t>
  </si>
  <si>
    <t>Progress</t>
  </si>
  <si>
    <t>Retention</t>
  </si>
  <si>
    <t>Advance Guarantee / Cheque</t>
  </si>
  <si>
    <t>Performance Bond / Cheque</t>
  </si>
  <si>
    <t>Lowest Vendor</t>
  </si>
  <si>
    <t>SC</t>
  </si>
  <si>
    <t>10% SC</t>
  </si>
  <si>
    <t>2nd Lowest</t>
  </si>
  <si>
    <t>3rd Lowest</t>
  </si>
  <si>
    <t>4th Lowest</t>
  </si>
  <si>
    <t>NA</t>
  </si>
  <si>
    <t>10%SC</t>
  </si>
  <si>
    <t>20 Years - 359,228.02
25 years - 395,150.82</t>
  </si>
  <si>
    <t>5th Lowest</t>
  </si>
  <si>
    <t>20 Years - 456.979.71
25 years - 677,066.21</t>
  </si>
  <si>
    <t>6th Lowest</t>
  </si>
  <si>
    <t>BG</t>
  </si>
  <si>
    <t>10% BG</t>
  </si>
  <si>
    <t>20 Years - 464.231.34
25 years - 616,235.84</t>
  </si>
  <si>
    <t>7th Lowest</t>
  </si>
  <si>
    <t>10% sc</t>
  </si>
  <si>
    <t>8th Lowest</t>
  </si>
  <si>
    <t>9th Lowest</t>
  </si>
  <si>
    <t>Refer Bid Tab for details</t>
  </si>
  <si>
    <t>Recommended Vendor:</t>
  </si>
  <si>
    <t>Back Up Vendor:</t>
  </si>
  <si>
    <t>Budget</t>
  </si>
  <si>
    <t>Selling</t>
  </si>
  <si>
    <t>Allowance</t>
  </si>
  <si>
    <t>Order Value</t>
  </si>
  <si>
    <t>Profit/(Loss)</t>
  </si>
  <si>
    <t>NOTES</t>
  </si>
  <si>
    <t xml:space="preserve">Specified Material : </t>
  </si>
  <si>
    <t>Warranty as per specs</t>
  </si>
  <si>
    <t>Warranty Substructure(20 years and extended warranty 25 years)</t>
  </si>
  <si>
    <t>COMPARISON STATEMENT FOR LANDSCAPING WORKS (SUPPLY &amp; INSTALLATION)</t>
  </si>
  <si>
    <t xml:space="preserve">Project Name: </t>
  </si>
  <si>
    <t>BELMORE RESIDENCES 305 Plot No. 6110305, Bukadra, Dubai, United Arab Emirates @Ras Al Khor</t>
  </si>
  <si>
    <t>DOC Ref:</t>
  </si>
  <si>
    <t>CS/HO/PROC/P1026/CIV/26/12</t>
  </si>
  <si>
    <t>DATE</t>
  </si>
  <si>
    <t>REV-0</t>
  </si>
  <si>
    <t>Sno</t>
  </si>
  <si>
    <t>Unit</t>
  </si>
  <si>
    <t>KTC INTERNATIONAL LANDSCAPING LLC</t>
  </si>
  <si>
    <t>Premier Irrigation &amp; Landscaping L.L.C</t>
  </si>
  <si>
    <t>Planta Lanndscaping &amp; Irrigation L.L.C</t>
  </si>
  <si>
    <t>Green dunes</t>
  </si>
  <si>
    <t>Quantity</t>
  </si>
  <si>
    <t>BCC Rate</t>
  </si>
  <si>
    <t>BCC Budget</t>
  </si>
  <si>
    <t>Naseek Erikunnan (971-5811 98257) naseek.erikunnan@ktcco.net</t>
  </si>
  <si>
    <t>971 55 995 0883</t>
  </si>
  <si>
    <t>971 55 842 7100</t>
  </si>
  <si>
    <t xml:space="preserve">Suhesh 971 52 123 5179 </t>
  </si>
  <si>
    <t>KTCL/EQ25/255/R04</t>
  </si>
  <si>
    <t>KTCL/EQ25/263/R01</t>
  </si>
  <si>
    <t>PLA/QTN/1025/1603_R02</t>
  </si>
  <si>
    <t>GD060/QTN/2026/0060</t>
  </si>
  <si>
    <t>Remeasureable</t>
  </si>
  <si>
    <t>Lumpsum</t>
  </si>
  <si>
    <t>R0 Price</t>
  </si>
  <si>
    <t>Qty</t>
  </si>
  <si>
    <t>R0 Amount</t>
  </si>
  <si>
    <t>R1 Price</t>
  </si>
  <si>
    <t>R1 Amount</t>
  </si>
  <si>
    <t>R2 Price</t>
  </si>
  <si>
    <t>R2 Amount</t>
  </si>
  <si>
    <t>R3 Price</t>
  </si>
  <si>
    <t>R3 Amount</t>
  </si>
  <si>
    <t>HARDSCAPE</t>
  </si>
  <si>
    <t>unbonded</t>
  </si>
  <si>
    <t>EXTERNAL WORKS</t>
  </si>
  <si>
    <t>The Contractor is referred to the specifications and drawings for the details related to the works under this division and he is to include for complying with all the requirements contained therein, whether or not they are specifically mentioned within the Item.</t>
  </si>
  <si>
    <t>External Floor Finishes</t>
  </si>
  <si>
    <t>Supply and installation of hardscape including all necessary excavation and filling as required, sub base, screed, bedding materials, support, adhesives,grouts, spacers, trims, dividing strips (where applicable) and fixing accessories ..etc, all in accordance with Drawings, Specifications and to the Engineer's approval</t>
  </si>
  <si>
    <t>PA-01A - Concrete pavers 600x600x80mm</t>
  </si>
  <si>
    <t>m2</t>
  </si>
  <si>
    <t>PA-01B - Concrete pavers 300x300x80mm</t>
  </si>
  <si>
    <t>PA-01C - Concrete pavers 300x300x80mm</t>
  </si>
  <si>
    <t>PA-02A - Porcelain tile 600x1200x10mm</t>
  </si>
  <si>
    <r>
      <t>PA-02B - Pool Porcelain tile 600x300x10mm (</t>
    </r>
    <r>
      <rPr>
        <sz val="14"/>
        <color rgb="FFFF0000"/>
        <rFont val="Arial"/>
        <family val="2"/>
      </rPr>
      <t>L05 - Adults and Kids pool)</t>
    </r>
  </si>
  <si>
    <r>
      <t>PA-02C - Porcelain tile 600x1200x9mm</t>
    </r>
    <r>
      <rPr>
        <sz val="14"/>
        <rFont val="Arial"/>
        <family val="2"/>
      </rPr>
      <t xml:space="preserve"> (L05 - Paving</t>
    </r>
    <r>
      <rPr>
        <sz val="14"/>
        <color theme="1"/>
        <rFont val="Arial"/>
        <family val="2"/>
      </rPr>
      <t>)</t>
    </r>
  </si>
  <si>
    <t>PA-02D - Porcelain tile 600x600x10mm (L05 - Seating pods paving and BBQ counter cladding)</t>
  </si>
  <si>
    <r>
      <t xml:space="preserve">PA-02E - Natural stone coping 600x300x30mm </t>
    </r>
    <r>
      <rPr>
        <sz val="14"/>
        <color rgb="FFFF0000"/>
        <rFont val="Arial"/>
        <family val="2"/>
      </rPr>
      <t>(L05 - Pool Edge Coping)</t>
    </r>
  </si>
  <si>
    <t>PA-02F - Porcelain grating tile 600x300x20mm (L05 - BMU mound path along the kids play area )</t>
  </si>
  <si>
    <t>PA-02G - Porcelain tile 365x1200x20mm ( L05 - Pool and paving steps tread)</t>
  </si>
  <si>
    <r>
      <t xml:space="preserve">PA-02H - Porcelain tile 300x1200x20mm </t>
    </r>
    <r>
      <rPr>
        <sz val="14"/>
        <color rgb="FFFF0000"/>
        <rFont val="Arial"/>
        <family val="2"/>
      </rPr>
      <t>(L05 - Pool steps tread)</t>
    </r>
  </si>
  <si>
    <t>PA-02I - Porcelain tile 300x300x10mm (L05 - TT table base)</t>
  </si>
  <si>
    <t>PA-03 - Pea Gravel - Greige</t>
  </si>
  <si>
    <t>PA-04 - Composite bamboo decking 1850x125x20mm</t>
  </si>
  <si>
    <t>PA-05 - TPV sports Flooring 10mm (L01 - Kids play area
Activity zone Outdoor Gym)</t>
  </si>
  <si>
    <t>PA-06 - Decorative Concrete  flooring (L01 - Outdoor Dining Area)</t>
  </si>
  <si>
    <t>PA-07A - Natural stone banding - Honed 200x200x30mm</t>
  </si>
  <si>
    <t>PA-07B - Natural stone flooring - Flamed 100x100x30mm</t>
  </si>
  <si>
    <t>PA-08 - Silica sand (pet play sand) (L01 - Pet play area)</t>
  </si>
  <si>
    <r>
      <t>PA-09 - River pebble - Semi polished.(</t>
    </r>
    <r>
      <rPr>
        <sz val="14"/>
        <color rgb="FFFF0000"/>
        <rFont val="Arial"/>
        <family val="2"/>
      </rPr>
      <t>L05 -Adult Pool Overflow edge</t>
    </r>
    <r>
      <rPr>
        <sz val="14"/>
        <color theme="1"/>
        <rFont val="Arial"/>
        <family val="2"/>
      </rPr>
      <t>)</t>
    </r>
  </si>
  <si>
    <t>W-01 - Wall coping tile 200x600x20</t>
  </si>
  <si>
    <t>m</t>
  </si>
  <si>
    <t>W-02 - Porcelain wall tile 600x600x10mm</t>
  </si>
  <si>
    <t>ADD</t>
  </si>
  <si>
    <t>WA-01 - Outdoor wallpaper (kids play area)</t>
  </si>
  <si>
    <t xml:space="preserve">WA-02 - Graffiti Art </t>
  </si>
  <si>
    <t>F-01 - Treated timber</t>
  </si>
  <si>
    <t>F-02A - Powder coating on Aluminium railing 1200mm high</t>
  </si>
  <si>
    <t>F-02B - Powder coating on Aluminium - wooden pattern (L05 -Barbeque Area)</t>
  </si>
  <si>
    <t>F-03 - Water based acrylic paint texture</t>
  </si>
  <si>
    <t>F-04 - Cast Stone seats</t>
  </si>
  <si>
    <t>F-04 - Cast Stone Pebbles (1800x400mm)</t>
  </si>
  <si>
    <t>No</t>
  </si>
  <si>
    <r>
      <t>F-05 - (2m2) - Waterproofing membrane (</t>
    </r>
    <r>
      <rPr>
        <sz val="14"/>
        <color rgb="FFFF0000"/>
        <rFont val="Arial"/>
        <family val="2"/>
      </rPr>
      <t>This is shade structure as per the schedule)</t>
    </r>
  </si>
  <si>
    <t>F-09 Treated Timber Lumber</t>
  </si>
  <si>
    <t>F-10 Acrylic Fabric</t>
  </si>
  <si>
    <t>BB-01 - Concrete breeze blocks  150x150x200mm</t>
  </si>
  <si>
    <t>E-01- Bike repair station</t>
  </si>
  <si>
    <t>E-02 -Bike rack</t>
  </si>
  <si>
    <t>E-04 - Metal edge trim</t>
  </si>
  <si>
    <t>Trellis including all supports and louvers</t>
  </si>
  <si>
    <t>Pods canopy - Overall size 2800x1910x2320mm</t>
  </si>
  <si>
    <t>Pods canopy - Overall size 1670x1350x2180mm</t>
  </si>
  <si>
    <t>E17 Landscape Edger</t>
  </si>
  <si>
    <t>SOFTSCAPE</t>
  </si>
  <si>
    <t>Trees &amp; Plantings Procure and plant in position of following trees &amp; Plantings including necessary excavation from rough grade, transferring, drain cell layer, waterproofing,planting medium, geotextile member, mulching and all necessary, complete; all in accordance with the Drawings and Specification Trees</t>
  </si>
  <si>
    <t>T/PAND-UT - Pandanus utilis - Screw pine</t>
  </si>
  <si>
    <t>T/DELO-RE - Delonix regia - Flame tree</t>
  </si>
  <si>
    <t>T/BUCI-BU - Bucida Buceras - Black olive tree</t>
  </si>
  <si>
    <t>T/FICU-RE - Ficus religiosa - Bodhi tree</t>
  </si>
  <si>
    <t>T/FICU-MCN - Ficcus microcarpanitida - Sculptured ficus.</t>
  </si>
  <si>
    <t>T/PLUM-RU1 - Plumeria rubra acutifolia - Red frangipani tree</t>
  </si>
  <si>
    <t>T/PLUM-RU2 - Plumeria rubra acutifolia - Red frangipani tree</t>
  </si>
  <si>
    <t>T/VITE-AC - Vitex agnus castus - Chaste tree</t>
  </si>
  <si>
    <t>T/CALL-LA - Callistemon lanceolatus - Weeping bottle brush</t>
  </si>
  <si>
    <t>T/HIBI-TRU - Hibiscus filaceus rubra</t>
  </si>
  <si>
    <t>Palms</t>
  </si>
  <si>
    <t>P/WODY-BI - Wodyetia bifurcata - Foxtail palm.</t>
  </si>
  <si>
    <t>Accent Plant</t>
  </si>
  <si>
    <t>AP/SPAT-WA - Spathiphyllum wallisii - Giant Spatiphyllum.</t>
  </si>
  <si>
    <t>AP/RAPH-EX - Raphix excelsa - Lady palm</t>
  </si>
  <si>
    <t>AP/SANS-TR - Sansevieria trifasciata - Snake plant</t>
  </si>
  <si>
    <t>AR/BAMB - Artificial Bamboo</t>
  </si>
  <si>
    <t>AP/MURR-PA - Murraya paniculata - Orange jasmine</t>
  </si>
  <si>
    <t>AP/CHAM-HU - Chamaeropes humilis - Mediterranean palm</t>
  </si>
  <si>
    <t>AP/VITE-RO - Vitexrotundifolia - Beach vitex</t>
  </si>
  <si>
    <t>AP/PENN-SE - Pennisetumsetaceum - Fountain grass</t>
  </si>
  <si>
    <t>T/OLIV-EU - Olivera europa - Olive tree</t>
  </si>
  <si>
    <t>Ground Cover</t>
  </si>
  <si>
    <t>GC/ASPA-DS - Asparagus densiflorus spengeri - Asparagus fern.</t>
  </si>
  <si>
    <t>GC/YUCC-DE - Yucca desmetiana - Dwarf yucca</t>
  </si>
  <si>
    <t>GC/VITE-RO - Vitexrotundifolia - Beach vitex</t>
  </si>
  <si>
    <t>GC/ASYS-GA - Asystasia gangetica - Chinese violet</t>
  </si>
  <si>
    <t>GC/IRES-LI - Iresine lindenii - Blood leaf plant</t>
  </si>
  <si>
    <t>GC/ATRI-SE - Atriplex sembibaccata - Atriplex</t>
  </si>
  <si>
    <t>GC/SESU-PO - Sesuvium portulacastrum - Sea purslane</t>
  </si>
  <si>
    <t>Shrubs</t>
  </si>
  <si>
    <t>SH/CYPE-AL - Cyperus alternifolius - mbrella plant.</t>
  </si>
  <si>
    <t>SH/HIBI-RE - Hibuscus tiliaceus rubra - Sea Hibuscus.</t>
  </si>
  <si>
    <t>Climber</t>
  </si>
  <si>
    <t>CL/ANTI-LE - Antigonon leptopus</t>
  </si>
  <si>
    <t>PA - Planting Area</t>
  </si>
  <si>
    <t>Outdoor Furniture and Plant pots</t>
  </si>
  <si>
    <t>Kid's play area</t>
  </si>
  <si>
    <t>PP01 GRC Planter pot</t>
  </si>
  <si>
    <t>PP02 GRC Planter pot</t>
  </si>
  <si>
    <t>PP02A GRC Planter pot</t>
  </si>
  <si>
    <t>PP03 GRC Planter pot</t>
  </si>
  <si>
    <t>Orange dolphine at Kid's play area</t>
  </si>
  <si>
    <t>BBQ counter with PA02 Tile finish and F01 treated timber size 2275x900x750mm at Outdoor Dining &amp; Barbeque</t>
  </si>
  <si>
    <t>E-19 BBQ Grill - Single bowl sink  at Outdoor Dining &amp; Barbeque</t>
  </si>
  <si>
    <t>E-18 BBQ Grill - mixer tap at Outdoor Dining &amp; Barbeque</t>
  </si>
  <si>
    <t>BR01 - Boulder rock</t>
  </si>
  <si>
    <t>WATERPROOFING WORKS</t>
  </si>
  <si>
    <t>Cementetious waterproofing - Horizontally</t>
  </si>
  <si>
    <t>2 layer membrane considered as per RFI in Waterproofing</t>
  </si>
  <si>
    <t>Ditto, but Vertically</t>
  </si>
  <si>
    <t>E-11 Geotextile fabric</t>
  </si>
  <si>
    <t>E-12 30mm thick Drainage cell at all planting areas</t>
  </si>
  <si>
    <t>Soil fill at all Planting areas</t>
  </si>
  <si>
    <t>m3</t>
  </si>
  <si>
    <t>Additional Items</t>
  </si>
  <si>
    <t>Preliminaries: Site preliminaries , shop drawings, material submittals, sample submittals and all other engineering works</t>
  </si>
  <si>
    <t>Supply and Installation of automatic irrigation system inclusive pimps fittings, mainline , lateral drip system etc. .As per tender drawings and Specifications</t>
  </si>
  <si>
    <t>Ls</t>
  </si>
  <si>
    <t>Maintenance of the Landscape after TOC to a maximum period of 1 year  as per specifiecaions</t>
  </si>
  <si>
    <t>Project Supervision</t>
  </si>
  <si>
    <t>Tree Anchoring System</t>
  </si>
  <si>
    <t>Nos</t>
  </si>
  <si>
    <t>Timber Stacks (3 NO's per tree)/Tree stakes</t>
  </si>
  <si>
    <t>Included Above</t>
  </si>
  <si>
    <t>Root Barrier (Planter walls / Above water tank )
General Notes Sht 001 Note 11</t>
  </si>
  <si>
    <t xml:space="preserve">Missing BoQ Item: SH/PSEU-RE – Pseuderanthemum (129 No., L5) L5 Planting Schedule Sht 003 </t>
  </si>
  <si>
    <t>Missing BoQ Item: SH/PSEU-AT – Pseuderanthemum (40 No.) L5 Enlarged Plan Sht 402</t>
  </si>
  <si>
    <t>CL/ANTI-LE – Antigonon leptopus climber (113 No.) Planting Schedule Sht 003</t>
  </si>
  <si>
    <t xml:space="preserve"> AP/OLIV-EU – Olea europaea (3 No. Roof) Roof Planting Schedule Sht 003</t>
  </si>
  <si>
    <t>Maintenance</t>
  </si>
  <si>
    <t>All Types of drains Including E-13 Tile insert drain</t>
  </si>
  <si>
    <t>Plant Garbage waste Disposal during the construction stage</t>
  </si>
  <si>
    <t>Total Amount</t>
  </si>
  <si>
    <t>Savings Margin over Budget (%)</t>
  </si>
  <si>
    <t>Specified Manufacturer</t>
  </si>
  <si>
    <t>Proposed Material</t>
  </si>
  <si>
    <t>Status</t>
  </si>
  <si>
    <t xml:space="preserve">SPECIFICATIONS </t>
  </si>
  <si>
    <t>COMMERCIAL TERMS &amp; CONDITIONS</t>
  </si>
  <si>
    <t xml:space="preserve">10% Advance against Security Guarantee.
</t>
  </si>
  <si>
    <t>Performance</t>
  </si>
  <si>
    <t>Performance Guarantee as Security Cheque.</t>
  </si>
  <si>
    <t xml:space="preserve">10% of Retention will be deducted from every Invoice, &amp; 5% will be released against TOC, &amp; 5% will be released upon DLP.
5% </t>
  </si>
  <si>
    <t>Material on site</t>
  </si>
  <si>
    <t xml:space="preserve">70% invoice value shall be paid for the material on site.
</t>
  </si>
  <si>
    <t>Payment terms</t>
  </si>
  <si>
    <t>30 days from the submission of Payment application</t>
  </si>
  <si>
    <t xml:space="preserve">30 days payment from the date of raising the running bill submission, </t>
  </si>
  <si>
    <t xml:space="preserve">Insurance </t>
  </si>
  <si>
    <t>By Main contractor</t>
  </si>
  <si>
    <t>Delivery Conditions</t>
  </si>
  <si>
    <t>Recommendations /Justification</t>
  </si>
  <si>
    <t>We are proceeding with Lowest 1 Subcontractor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</si>
</sst>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14C09]d\ mmm\ yyyy;@"/>
  </numFmts>
  <fonts count="29" x14ac:knownFonts="1">
    <font>
      <sz val="11"/>
      <color theme="1"/>
      <name val="Calibri"/>
      <family val="2"/>
      <scheme val="minor"/>
    </font>
    <font>
      <sz val="11"/>
      <color theme="1"/>
      <name val="Calibri"/>
      <family val="2"/>
      <scheme val="minor"/>
    </font>
    <font>
      <sz val="10"/>
      <name val="Arial"/>
      <family val="2"/>
    </font>
    <font>
      <b/>
      <sz val="14"/>
      <color theme="1"/>
      <name val="Tahoma"/>
      <family val="2"/>
    </font>
    <font>
      <sz val="14"/>
      <color theme="1"/>
      <name val="Tahoma"/>
      <family val="2"/>
    </font>
    <font>
      <b/>
      <sz val="14"/>
      <color rgb="FF000000"/>
      <name val="Tahoma"/>
      <family val="2"/>
    </font>
    <font>
      <b/>
      <sz val="14"/>
      <color rgb="FF004F88"/>
      <name val="Tahoma"/>
      <family val="2"/>
    </font>
    <font>
      <b/>
      <sz val="14"/>
      <color rgb="FF00B050"/>
      <name val="Tahoma"/>
      <family val="2"/>
    </font>
    <font>
      <b/>
      <sz val="14"/>
      <name val="Tahoma"/>
      <family val="2"/>
    </font>
    <font>
      <b/>
      <sz val="11"/>
      <color rgb="FFFF0000"/>
      <name val="Tahoma"/>
      <family val="2"/>
    </font>
    <font>
      <sz val="14"/>
      <color theme="0"/>
      <name val="Tahoma"/>
      <family val="2"/>
    </font>
    <font>
      <sz val="14"/>
      <name val="Tahoma"/>
      <family val="2"/>
    </font>
    <font>
      <b/>
      <sz val="11"/>
      <name val="Tahoma"/>
      <family val="2"/>
    </font>
    <font>
      <b/>
      <sz val="14"/>
      <color theme="9" tint="-0.249977111117893"/>
      <name val="Tahoma"/>
      <family val="2"/>
    </font>
    <font>
      <sz val="14"/>
      <color rgb="FFFF0000"/>
      <name val="Tahoma"/>
      <family val="2"/>
    </font>
    <font>
      <b/>
      <sz val="14"/>
      <color theme="0"/>
      <name val="Tahoma"/>
      <family val="2"/>
    </font>
    <font>
      <b/>
      <sz val="14"/>
      <name val="Arial"/>
      <family val="2"/>
    </font>
    <font>
      <sz val="14"/>
      <name val="Arial"/>
      <family val="2"/>
    </font>
    <font>
      <sz val="10"/>
      <color theme="1"/>
      <name val="Calibri"/>
      <family val="2"/>
      <scheme val="minor"/>
    </font>
    <font>
      <b/>
      <sz val="10"/>
      <name val="Calibri"/>
      <family val="2"/>
      <scheme val="minor"/>
    </font>
    <font>
      <b/>
      <sz val="18"/>
      <name val="Bookman Old Style"/>
      <family val="1"/>
    </font>
    <font>
      <b/>
      <sz val="16"/>
      <color theme="1"/>
      <name val="Arial"/>
      <family val="2"/>
    </font>
    <font>
      <b/>
      <sz val="14"/>
      <color theme="1"/>
      <name val="Arial"/>
      <family val="2"/>
    </font>
    <font>
      <sz val="14"/>
      <color theme="1"/>
      <name val="Arial"/>
      <family val="2"/>
    </font>
    <font>
      <sz val="12"/>
      <name val="Arial"/>
      <family val="2"/>
    </font>
    <font>
      <sz val="12"/>
      <color theme="1"/>
      <name val="Arial"/>
      <family val="2"/>
    </font>
    <font>
      <b/>
      <sz val="14"/>
      <color rgb="FFFF0000"/>
      <name val="Arial"/>
      <family val="2"/>
    </font>
    <font>
      <sz val="14"/>
      <color rgb="FFFF0000"/>
      <name val="Arial"/>
      <family val="2"/>
    </font>
    <font>
      <sz val="11"/>
      <color theme="1"/>
      <name val="Arial"/>
      <family val="2"/>
    </font>
  </fonts>
  <fills count="11">
    <fill>
      <patternFill patternType="none"/>
    </fill>
    <fill>
      <patternFill patternType="gray125"/>
    </fill>
    <fill>
      <patternFill patternType="solid">
        <fgColor theme="3" tint="0.89999084444715716"/>
        <bgColor indexed="64"/>
      </patternFill>
    </fill>
    <fill>
      <patternFill patternType="solid">
        <fgColor theme="0" tint="-0.499984740745262"/>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0" tint="-0.249977111117893"/>
        <bgColor indexed="64"/>
      </patternFill>
    </fill>
  </fills>
  <borders count="91">
    <border>
      <left/>
      <right/>
      <top/>
      <bottom/>
      <diagonal/>
    </border>
    <border>
      <left style="thin">
        <color indexed="64"/>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rgb="FF000000"/>
      </right>
      <top/>
      <bottom/>
      <diagonal/>
    </border>
    <border>
      <left style="medium">
        <color rgb="FF000000"/>
      </left>
      <right/>
      <top/>
      <bottom/>
      <diagonal/>
    </border>
    <border>
      <left/>
      <right style="medium">
        <color indexed="64"/>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medium">
        <color rgb="FF000000"/>
      </left>
      <right style="thin">
        <color indexed="64"/>
      </right>
      <top style="medium">
        <color indexed="64"/>
      </top>
      <bottom style="thin">
        <color indexed="64"/>
      </bottom>
      <diagonal/>
    </border>
    <border>
      <left style="medium">
        <color rgb="FF000000"/>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rgb="FF000000"/>
      </bottom>
      <diagonal/>
    </border>
    <border>
      <left style="medium">
        <color rgb="FF000000"/>
      </left>
      <right style="thin">
        <color indexed="64"/>
      </right>
      <top style="thin">
        <color indexed="64"/>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indexed="64"/>
      </right>
      <top/>
      <bottom style="medium">
        <color rgb="FF000000"/>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000000"/>
      </left>
      <right style="thin">
        <color indexed="64"/>
      </right>
      <top/>
      <bottom style="thin">
        <color indexed="64"/>
      </bottom>
      <diagonal/>
    </border>
    <border>
      <left style="medium">
        <color rgb="FF000000"/>
      </left>
      <right style="medium">
        <color rgb="FF000000"/>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rgb="FF000000"/>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rgb="FF000000"/>
      </left>
      <right style="thin">
        <color indexed="64"/>
      </right>
      <top/>
      <bottom style="medium">
        <color indexed="64"/>
      </bottom>
      <diagonal/>
    </border>
    <border>
      <left style="medium">
        <color rgb="FF000000"/>
      </left>
      <right style="medium">
        <color rgb="FF000000"/>
      </right>
      <top style="thin">
        <color indexed="64"/>
      </top>
      <bottom style="medium">
        <color indexed="64"/>
      </bottom>
      <diagonal/>
    </border>
    <border>
      <left/>
      <right style="medium">
        <color indexed="64"/>
      </right>
      <top/>
      <bottom style="medium">
        <color indexed="64"/>
      </bottom>
      <diagonal/>
    </border>
    <border>
      <left style="thin">
        <color indexed="64"/>
      </left>
      <right style="medium">
        <color rgb="FF000000"/>
      </right>
      <top/>
      <bottom style="thin">
        <color indexed="64"/>
      </bottom>
      <diagonal/>
    </border>
    <border>
      <left/>
      <right/>
      <top/>
      <bottom style="thin">
        <color indexed="64"/>
      </bottom>
      <diagonal/>
    </border>
    <border>
      <left style="medium">
        <color rgb="FF000000"/>
      </left>
      <right style="medium">
        <color rgb="FF000000"/>
      </right>
      <top/>
      <bottom style="thin">
        <color indexed="64"/>
      </bottom>
      <diagonal/>
    </border>
    <border>
      <left/>
      <right style="medium">
        <color rgb="FF000000"/>
      </right>
      <top/>
      <bottom style="thin">
        <color indexed="64"/>
      </bottom>
      <diagonal/>
    </border>
    <border>
      <left/>
      <right/>
      <top/>
      <bottom style="medium">
        <color rgb="FF000000"/>
      </bottom>
      <diagonal/>
    </border>
    <border>
      <left style="thin">
        <color indexed="64"/>
      </left>
      <right style="medium">
        <color rgb="FF000000"/>
      </right>
      <top/>
      <bottom style="medium">
        <color rgb="FF000000"/>
      </bottom>
      <diagonal/>
    </border>
    <border>
      <left style="medium">
        <color rgb="FF000000"/>
      </left>
      <right style="medium">
        <color rgb="FF000000"/>
      </right>
      <top style="thin">
        <color indexed="64"/>
      </top>
      <bottom style="medium">
        <color rgb="FF000000"/>
      </bottom>
      <diagonal/>
    </border>
    <border>
      <left style="medium">
        <color rgb="FF000000"/>
      </left>
      <right style="thin">
        <color indexed="64"/>
      </right>
      <top/>
      <bottom/>
      <diagonal/>
    </border>
    <border>
      <left/>
      <right/>
      <top style="thin">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right style="medium">
        <color rgb="FF000000"/>
      </right>
      <top style="thin">
        <color indexed="64"/>
      </top>
      <bottom style="medium">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43" fontId="2" fillId="0" borderId="0" applyFont="0" applyFill="0" applyBorder="0" applyAlignment="0" applyProtection="0"/>
    <xf numFmtId="0" fontId="2" fillId="0" borderId="0"/>
  </cellStyleXfs>
  <cellXfs count="460">
    <xf numFmtId="0" fontId="0" fillId="0" borderId="0" xfId="0"/>
    <xf numFmtId="0" fontId="3" fillId="0" borderId="1" xfId="3" applyFont="1" applyBorder="1" applyAlignment="1">
      <alignment horizontal="left" vertical="center"/>
    </xf>
    <xf numFmtId="0" fontId="4" fillId="0" borderId="2" xfId="3" applyFont="1" applyBorder="1" applyAlignment="1">
      <alignment horizontal="left" vertical="center"/>
    </xf>
    <xf numFmtId="0" fontId="5" fillId="0" borderId="3" xfId="3" applyFont="1" applyBorder="1" applyAlignment="1">
      <alignment horizontal="left" vertical="center" wrapText="1"/>
    </xf>
    <xf numFmtId="0" fontId="5" fillId="0" borderId="4" xfId="3" applyFont="1" applyBorder="1" applyAlignment="1">
      <alignment horizontal="left" vertical="center" wrapText="1"/>
    </xf>
    <xf numFmtId="164" fontId="3" fillId="0" borderId="5" xfId="3" applyNumberFormat="1" applyFont="1" applyBorder="1" applyAlignment="1">
      <alignment vertical="center"/>
    </xf>
    <xf numFmtId="0" fontId="4" fillId="0" borderId="0" xfId="3" applyFont="1"/>
    <xf numFmtId="0" fontId="3" fillId="0" borderId="6" xfId="3" applyFont="1" applyBorder="1" applyAlignment="1">
      <alignment horizontal="left" vertical="center"/>
    </xf>
    <xf numFmtId="0" fontId="4" fillId="0" borderId="7" xfId="3" applyFont="1" applyBorder="1" applyAlignment="1">
      <alignment horizontal="left" vertical="center"/>
    </xf>
    <xf numFmtId="0" fontId="3" fillId="0" borderId="8" xfId="3" applyFont="1" applyBorder="1" applyAlignment="1">
      <alignment horizontal="left" vertical="center"/>
    </xf>
    <xf numFmtId="0" fontId="3" fillId="0" borderId="0" xfId="3" applyFont="1" applyAlignment="1">
      <alignment horizontal="left"/>
    </xf>
    <xf numFmtId="0" fontId="3" fillId="0" borderId="0" xfId="3" applyFont="1" applyAlignment="1">
      <alignment horizontal="right"/>
    </xf>
    <xf numFmtId="2" fontId="3" fillId="0" borderId="9" xfId="3" applyNumberFormat="1" applyFont="1" applyBorder="1" applyAlignment="1">
      <alignment horizontal="left"/>
    </xf>
    <xf numFmtId="0" fontId="4" fillId="0" borderId="0" xfId="3" applyFont="1" applyAlignment="1">
      <alignment horizontal="left" vertical="center"/>
    </xf>
    <xf numFmtId="0" fontId="4" fillId="0" borderId="0" xfId="3" applyFont="1" applyAlignment="1">
      <alignment horizontal="left" vertical="center" wrapText="1"/>
    </xf>
    <xf numFmtId="0" fontId="4" fillId="0" borderId="9" xfId="3" applyFont="1" applyBorder="1" applyAlignment="1">
      <alignment horizontal="left" vertical="center" wrapText="1"/>
    </xf>
    <xf numFmtId="0" fontId="4" fillId="0" borderId="0" xfId="3" applyFont="1" applyAlignment="1">
      <alignment vertical="center"/>
    </xf>
    <xf numFmtId="0" fontId="4" fillId="0" borderId="9" xfId="3" applyFont="1" applyBorder="1"/>
    <xf numFmtId="0" fontId="6" fillId="0" borderId="0" xfId="3" applyFont="1" applyAlignment="1">
      <alignment vertical="center"/>
    </xf>
    <xf numFmtId="0" fontId="3" fillId="0" borderId="10" xfId="3" applyFont="1" applyBorder="1" applyAlignment="1">
      <alignment horizontal="left"/>
    </xf>
    <xf numFmtId="0" fontId="3" fillId="0" borderId="11" xfId="3" applyFont="1" applyBorder="1" applyAlignment="1">
      <alignment horizontal="center"/>
    </xf>
    <xf numFmtId="0" fontId="3" fillId="0" borderId="12" xfId="3" applyFont="1" applyBorder="1" applyAlignment="1">
      <alignment horizontal="center"/>
    </xf>
    <xf numFmtId="0" fontId="4" fillId="0" borderId="8" xfId="3" applyFont="1" applyBorder="1" applyAlignment="1">
      <alignment horizontal="center"/>
    </xf>
    <xf numFmtId="0" fontId="4" fillId="0" borderId="0" xfId="3" applyFont="1" applyAlignment="1">
      <alignment horizontal="center"/>
    </xf>
    <xf numFmtId="0" fontId="4" fillId="0" borderId="7" xfId="3" applyFont="1" applyBorder="1" applyAlignment="1">
      <alignment horizontal="center"/>
    </xf>
    <xf numFmtId="0" fontId="3" fillId="2" borderId="13" xfId="3" applyFont="1" applyFill="1" applyBorder="1" applyAlignment="1">
      <alignment horizontal="center" vertical="center" wrapText="1"/>
    </xf>
    <xf numFmtId="0" fontId="3" fillId="2" borderId="14" xfId="3" applyFont="1" applyFill="1" applyBorder="1" applyAlignment="1">
      <alignment horizontal="center" vertical="center" wrapText="1"/>
    </xf>
    <xf numFmtId="0" fontId="3" fillId="2" borderId="15" xfId="3" applyFont="1" applyFill="1" applyBorder="1" applyAlignment="1">
      <alignment horizontal="center" vertical="center" wrapText="1"/>
    </xf>
    <xf numFmtId="0" fontId="3" fillId="2" borderId="16" xfId="3" applyFont="1" applyFill="1" applyBorder="1" applyAlignment="1">
      <alignment horizontal="center" vertical="center" wrapText="1"/>
    </xf>
    <xf numFmtId="0" fontId="3" fillId="2" borderId="17" xfId="3" applyFont="1" applyFill="1" applyBorder="1" applyAlignment="1">
      <alignment horizontal="center" vertical="center" wrapText="1"/>
    </xf>
    <xf numFmtId="0" fontId="3" fillId="2" borderId="18" xfId="3" applyFont="1" applyFill="1" applyBorder="1" applyAlignment="1">
      <alignment horizontal="center" vertical="center" wrapText="1"/>
    </xf>
    <xf numFmtId="0" fontId="3" fillId="2" borderId="19" xfId="3" applyFont="1" applyFill="1" applyBorder="1" applyAlignment="1">
      <alignment horizontal="center" vertical="center" wrapText="1"/>
    </xf>
    <xf numFmtId="0" fontId="3" fillId="2" borderId="20" xfId="3" applyFont="1" applyFill="1" applyBorder="1" applyAlignment="1">
      <alignment horizontal="center" vertical="center" wrapText="1"/>
    </xf>
    <xf numFmtId="0" fontId="3" fillId="2" borderId="21" xfId="3" applyFont="1" applyFill="1" applyBorder="1" applyAlignment="1">
      <alignment horizontal="center" vertical="center" wrapText="1"/>
    </xf>
    <xf numFmtId="0" fontId="3" fillId="2" borderId="22" xfId="3" applyFont="1" applyFill="1" applyBorder="1" applyAlignment="1">
      <alignment horizontal="center" vertical="center" wrapText="1"/>
    </xf>
    <xf numFmtId="0" fontId="4" fillId="0" borderId="0" xfId="3" applyFont="1" applyAlignment="1">
      <alignment vertical="center" wrapText="1"/>
    </xf>
    <xf numFmtId="0" fontId="3" fillId="2" borderId="23" xfId="3" applyFont="1" applyFill="1" applyBorder="1" applyAlignment="1">
      <alignment horizontal="center" vertical="center" wrapText="1"/>
    </xf>
    <xf numFmtId="0" fontId="3" fillId="2" borderId="24" xfId="3" applyFont="1" applyFill="1" applyBorder="1" applyAlignment="1">
      <alignment horizontal="center" vertical="center" wrapText="1"/>
    </xf>
    <xf numFmtId="0" fontId="3" fillId="2" borderId="25" xfId="3" applyFont="1" applyFill="1" applyBorder="1" applyAlignment="1">
      <alignment horizontal="center" vertical="center" wrapText="1"/>
    </xf>
    <xf numFmtId="0" fontId="3" fillId="2" borderId="26" xfId="3" applyFont="1" applyFill="1" applyBorder="1" applyAlignment="1">
      <alignment horizontal="center" vertical="center" wrapText="1"/>
    </xf>
    <xf numFmtId="0" fontId="3" fillId="2" borderId="27" xfId="3" applyFont="1" applyFill="1" applyBorder="1" applyAlignment="1">
      <alignment horizontal="center" vertical="center" wrapText="1"/>
    </xf>
    <xf numFmtId="0" fontId="3" fillId="2" borderId="28" xfId="3" applyFont="1" applyFill="1" applyBorder="1" applyAlignment="1">
      <alignment horizontal="center" vertical="center" wrapText="1"/>
    </xf>
    <xf numFmtId="0" fontId="3" fillId="2" borderId="29" xfId="3" applyFont="1" applyFill="1" applyBorder="1" applyAlignment="1">
      <alignment horizontal="center" vertical="center" wrapText="1"/>
    </xf>
    <xf numFmtId="0" fontId="3" fillId="2" borderId="24" xfId="3" applyFont="1" applyFill="1" applyBorder="1" applyAlignment="1">
      <alignment horizontal="center" vertical="center" wrapText="1"/>
    </xf>
    <xf numFmtId="0" fontId="3" fillId="2" borderId="25" xfId="3" applyFont="1" applyFill="1" applyBorder="1" applyAlignment="1">
      <alignment horizontal="center" vertical="center" wrapText="1"/>
    </xf>
    <xf numFmtId="0" fontId="3" fillId="2" borderId="30" xfId="3" applyFont="1" applyFill="1" applyBorder="1" applyAlignment="1">
      <alignment horizontal="center" vertical="center" wrapText="1"/>
    </xf>
    <xf numFmtId="0" fontId="3" fillId="2" borderId="31" xfId="3" applyFont="1" applyFill="1" applyBorder="1" applyAlignment="1">
      <alignment horizontal="center" vertical="center" wrapText="1"/>
    </xf>
    <xf numFmtId="0" fontId="3" fillId="2" borderId="32" xfId="3" applyFont="1" applyFill="1" applyBorder="1" applyAlignment="1">
      <alignment horizontal="center" vertical="center" wrapText="1"/>
    </xf>
    <xf numFmtId="0" fontId="4" fillId="0" borderId="33" xfId="3" applyFont="1" applyBorder="1" applyAlignment="1">
      <alignment horizontal="center" vertical="center"/>
    </xf>
    <xf numFmtId="0" fontId="4" fillId="0" borderId="34" xfId="3" applyFont="1" applyBorder="1" applyAlignment="1">
      <alignment horizontal="center" vertical="center"/>
    </xf>
    <xf numFmtId="15" fontId="4" fillId="0" borderId="35" xfId="3" applyNumberFormat="1" applyFont="1" applyBorder="1" applyAlignment="1">
      <alignment horizontal="center" vertical="center" wrapText="1"/>
    </xf>
    <xf numFmtId="4" fontId="4" fillId="0" borderId="33" xfId="3" applyNumberFormat="1" applyFont="1" applyBorder="1" applyAlignment="1">
      <alignment horizontal="right" vertical="center"/>
    </xf>
    <xf numFmtId="4" fontId="4" fillId="0" borderId="34" xfId="3" applyNumberFormat="1" applyFont="1" applyBorder="1" applyAlignment="1">
      <alignment horizontal="right" vertical="center"/>
    </xf>
    <xf numFmtId="4" fontId="7" fillId="0" borderId="35" xfId="3" applyNumberFormat="1" applyFont="1" applyBorder="1" applyAlignment="1">
      <alignment horizontal="right" vertical="center"/>
    </xf>
    <xf numFmtId="43" fontId="8" fillId="0" borderId="36" xfId="4" applyFont="1" applyFill="1" applyBorder="1" applyAlignment="1">
      <alignment horizontal="right" vertical="center"/>
    </xf>
    <xf numFmtId="9" fontId="4" fillId="0" borderId="5" xfId="3" applyNumberFormat="1" applyFont="1" applyBorder="1" applyAlignment="1">
      <alignment horizontal="center" vertical="center"/>
    </xf>
    <xf numFmtId="9" fontId="4" fillId="0" borderId="34" xfId="3" applyNumberFormat="1" applyFont="1" applyBorder="1" applyAlignment="1">
      <alignment horizontal="center" vertical="center"/>
    </xf>
    <xf numFmtId="9" fontId="4" fillId="0" borderId="37" xfId="3" applyNumberFormat="1" applyFont="1" applyBorder="1" applyAlignment="1">
      <alignment horizontal="center" vertical="center"/>
    </xf>
    <xf numFmtId="9" fontId="4" fillId="0" borderId="1" xfId="3" applyNumberFormat="1" applyFont="1" applyBorder="1" applyAlignment="1">
      <alignment horizontal="center" vertical="center"/>
    </xf>
    <xf numFmtId="43" fontId="4" fillId="0" borderId="38" xfId="3" applyNumberFormat="1" applyFont="1" applyBorder="1" applyAlignment="1">
      <alignment horizontal="center" vertical="center"/>
    </xf>
    <xf numFmtId="43" fontId="4" fillId="0" borderId="1" xfId="3" applyNumberFormat="1" applyFont="1" applyBorder="1" applyAlignment="1">
      <alignment horizontal="center" vertical="center"/>
    </xf>
    <xf numFmtId="0" fontId="9" fillId="0" borderId="39" xfId="3" applyFont="1" applyBorder="1" applyAlignment="1">
      <alignment horizontal="center" vertical="center" wrapText="1"/>
    </xf>
    <xf numFmtId="14" fontId="4" fillId="0" borderId="40" xfId="3" applyNumberFormat="1" applyFont="1" applyBorder="1" applyAlignment="1">
      <alignment horizontal="center" vertical="center" wrapText="1"/>
    </xf>
    <xf numFmtId="43" fontId="10" fillId="0" borderId="0" xfId="3" applyNumberFormat="1" applyFont="1" applyAlignment="1">
      <alignment vertical="center"/>
    </xf>
    <xf numFmtId="0" fontId="4" fillId="0" borderId="41" xfId="3" applyFont="1" applyBorder="1" applyAlignment="1">
      <alignment horizontal="center" vertical="center"/>
    </xf>
    <xf numFmtId="0" fontId="4" fillId="0" borderId="37" xfId="3" applyFont="1" applyBorder="1" applyAlignment="1">
      <alignment horizontal="center" vertical="center"/>
    </xf>
    <xf numFmtId="43" fontId="4" fillId="0" borderId="41" xfId="3" applyNumberFormat="1" applyFont="1" applyBorder="1" applyAlignment="1">
      <alignment horizontal="right" vertical="center"/>
    </xf>
    <xf numFmtId="43" fontId="4" fillId="0" borderId="37" xfId="3" applyNumberFormat="1" applyFont="1" applyBorder="1" applyAlignment="1">
      <alignment horizontal="right" vertical="center"/>
    </xf>
    <xf numFmtId="4" fontId="4" fillId="0" borderId="37" xfId="3" applyNumberFormat="1" applyFont="1" applyBorder="1" applyAlignment="1">
      <alignment horizontal="right" vertical="center"/>
    </xf>
    <xf numFmtId="4" fontId="4" fillId="0" borderId="1" xfId="3" applyNumberFormat="1" applyFont="1" applyBorder="1" applyAlignment="1">
      <alignment horizontal="right" vertical="center"/>
    </xf>
    <xf numFmtId="43" fontId="3" fillId="0" borderId="36" xfId="3" applyNumberFormat="1" applyFont="1" applyBorder="1" applyAlignment="1">
      <alignment horizontal="right" vertical="center"/>
    </xf>
    <xf numFmtId="43" fontId="4" fillId="0" borderId="37" xfId="3" applyNumberFormat="1" applyFont="1" applyBorder="1" applyAlignment="1">
      <alignment horizontal="center" vertical="center"/>
    </xf>
    <xf numFmtId="43" fontId="4" fillId="0" borderId="42" xfId="3" applyNumberFormat="1" applyFont="1" applyBorder="1" applyAlignment="1">
      <alignment horizontal="center" vertical="center"/>
    </xf>
    <xf numFmtId="14" fontId="11" fillId="0" borderId="43" xfId="3" applyNumberFormat="1" applyFont="1" applyBorder="1" applyAlignment="1">
      <alignment horizontal="center" vertical="center" wrapText="1"/>
    </xf>
    <xf numFmtId="4" fontId="4" fillId="0" borderId="41" xfId="3" applyNumberFormat="1" applyFont="1" applyBorder="1" applyAlignment="1">
      <alignment horizontal="right" vertical="center"/>
    </xf>
    <xf numFmtId="43" fontId="4" fillId="0" borderId="1" xfId="3" applyNumberFormat="1" applyFont="1" applyBorder="1" applyAlignment="1">
      <alignment horizontal="right" vertical="center"/>
    </xf>
    <xf numFmtId="4" fontId="3" fillId="0" borderId="36" xfId="3" applyNumberFormat="1" applyFont="1" applyBorder="1" applyAlignment="1">
      <alignment horizontal="right" vertical="center"/>
    </xf>
    <xf numFmtId="43" fontId="4" fillId="0" borderId="34" xfId="3" applyNumberFormat="1" applyFont="1" applyBorder="1" applyAlignment="1">
      <alignment horizontal="center" vertical="center" wrapText="1"/>
    </xf>
    <xf numFmtId="14" fontId="4" fillId="0" borderId="43" xfId="3" applyNumberFormat="1" applyFont="1" applyBorder="1" applyAlignment="1">
      <alignment horizontal="center" vertical="center" wrapText="1"/>
    </xf>
    <xf numFmtId="43" fontId="7" fillId="0" borderId="0" xfId="3" applyNumberFormat="1" applyFont="1" applyAlignment="1">
      <alignment horizontal="right" vertical="center"/>
    </xf>
    <xf numFmtId="0" fontId="4" fillId="0" borderId="1" xfId="3" applyFont="1" applyBorder="1" applyAlignment="1">
      <alignment horizontal="right" vertical="center"/>
    </xf>
    <xf numFmtId="43" fontId="4" fillId="0" borderId="5" xfId="3" applyNumberFormat="1" applyFont="1" applyBorder="1" applyAlignment="1">
      <alignment horizontal="center" vertical="center"/>
    </xf>
    <xf numFmtId="0" fontId="12" fillId="0" borderId="39" xfId="3" applyFont="1" applyBorder="1" applyAlignment="1">
      <alignment horizontal="center" vertical="center" wrapText="1"/>
    </xf>
    <xf numFmtId="4" fontId="11" fillId="0" borderId="1" xfId="3" applyNumberFormat="1" applyFont="1" applyBorder="1" applyAlignment="1">
      <alignment horizontal="right" vertical="center"/>
    </xf>
    <xf numFmtId="43" fontId="7" fillId="0" borderId="37" xfId="3" applyNumberFormat="1" applyFont="1" applyBorder="1" applyAlignment="1">
      <alignment horizontal="right" vertical="center"/>
    </xf>
    <xf numFmtId="43" fontId="4" fillId="0" borderId="34" xfId="3" quotePrefix="1" applyNumberFormat="1" applyFont="1" applyBorder="1" applyAlignment="1">
      <alignment horizontal="center" vertical="center" wrapText="1"/>
    </xf>
    <xf numFmtId="15" fontId="4" fillId="0" borderId="1" xfId="3" applyNumberFormat="1" applyFont="1" applyBorder="1" applyAlignment="1">
      <alignment horizontal="center" vertical="center" wrapText="1"/>
    </xf>
    <xf numFmtId="43" fontId="3" fillId="0" borderId="36" xfId="3" applyNumberFormat="1" applyFont="1" applyBorder="1" applyAlignment="1">
      <alignment vertical="center"/>
    </xf>
    <xf numFmtId="43" fontId="4" fillId="0" borderId="37" xfId="3" applyNumberFormat="1" applyFont="1" applyBorder="1" applyAlignment="1">
      <alignment horizontal="center" vertical="center" wrapText="1"/>
    </xf>
    <xf numFmtId="0" fontId="4" fillId="0" borderId="37" xfId="3" applyFont="1" applyBorder="1" applyAlignment="1">
      <alignment vertical="center"/>
    </xf>
    <xf numFmtId="0" fontId="4" fillId="0" borderId="43" xfId="3" applyFont="1" applyBorder="1" applyAlignment="1">
      <alignment horizontal="center" vertical="center" wrapText="1"/>
    </xf>
    <xf numFmtId="0" fontId="4" fillId="0" borderId="44" xfId="3" applyFont="1" applyBorder="1" applyAlignment="1">
      <alignment horizontal="center" vertical="center"/>
    </xf>
    <xf numFmtId="0" fontId="4" fillId="0" borderId="45" xfId="3" applyFont="1" applyBorder="1" applyAlignment="1">
      <alignment horizontal="center" vertical="center"/>
    </xf>
    <xf numFmtId="15" fontId="4" fillId="0" borderId="46" xfId="3" applyNumberFormat="1" applyFont="1" applyBorder="1" applyAlignment="1">
      <alignment horizontal="center" vertical="center" wrapText="1"/>
    </xf>
    <xf numFmtId="4" fontId="4" fillId="0" borderId="44" xfId="3" applyNumberFormat="1" applyFont="1" applyBorder="1" applyAlignment="1">
      <alignment horizontal="right" vertical="center"/>
    </xf>
    <xf numFmtId="4" fontId="4" fillId="0" borderId="45" xfId="3" applyNumberFormat="1" applyFont="1" applyBorder="1" applyAlignment="1">
      <alignment horizontal="right" vertical="center"/>
    </xf>
    <xf numFmtId="0" fontId="4" fillId="0" borderId="45" xfId="3" applyFont="1" applyBorder="1" applyAlignment="1">
      <alignment horizontal="right" vertical="center"/>
    </xf>
    <xf numFmtId="0" fontId="4" fillId="0" borderId="46" xfId="3" applyFont="1" applyBorder="1" applyAlignment="1">
      <alignment horizontal="right" vertical="center"/>
    </xf>
    <xf numFmtId="4" fontId="3" fillId="0" borderId="47" xfId="3" applyNumberFormat="1" applyFont="1" applyBorder="1" applyAlignment="1">
      <alignment vertical="center"/>
    </xf>
    <xf numFmtId="43" fontId="4" fillId="0" borderId="48" xfId="3" applyNumberFormat="1" applyFont="1" applyBorder="1" applyAlignment="1">
      <alignment horizontal="center" vertical="center"/>
    </xf>
    <xf numFmtId="43" fontId="4" fillId="0" borderId="45" xfId="3" applyNumberFormat="1" applyFont="1" applyBorder="1" applyAlignment="1">
      <alignment horizontal="center" vertical="center"/>
    </xf>
    <xf numFmtId="43" fontId="4" fillId="0" borderId="46" xfId="3" applyNumberFormat="1" applyFont="1" applyBorder="1" applyAlignment="1">
      <alignment horizontal="center" vertical="center"/>
    </xf>
    <xf numFmtId="43" fontId="4" fillId="0" borderId="49" xfId="3" applyNumberFormat="1" applyFont="1" applyBorder="1" applyAlignment="1">
      <alignment horizontal="center" vertical="center"/>
    </xf>
    <xf numFmtId="0" fontId="9" fillId="0" borderId="50" xfId="3" applyFont="1" applyBorder="1" applyAlignment="1">
      <alignment horizontal="center" vertical="center" wrapText="1"/>
    </xf>
    <xf numFmtId="14" fontId="11" fillId="0" borderId="51" xfId="3" applyNumberFormat="1" applyFont="1" applyBorder="1" applyAlignment="1">
      <alignment horizontal="center" vertical="center" wrapText="1"/>
    </xf>
    <xf numFmtId="0" fontId="4" fillId="0" borderId="38" xfId="3" applyFont="1" applyBorder="1" applyAlignment="1">
      <alignment horizontal="center" vertical="center"/>
    </xf>
    <xf numFmtId="15" fontId="4" fillId="0" borderId="52" xfId="3" applyNumberFormat="1" applyFont="1" applyBorder="1" applyAlignment="1">
      <alignment horizontal="center" vertical="center" wrapText="1"/>
    </xf>
    <xf numFmtId="4" fontId="4" fillId="0" borderId="38" xfId="3" applyNumberFormat="1" applyFont="1" applyBorder="1" applyAlignment="1">
      <alignment horizontal="center" vertical="center"/>
    </xf>
    <xf numFmtId="4" fontId="4" fillId="0" borderId="53" xfId="3" applyNumberFormat="1" applyFont="1" applyBorder="1" applyAlignment="1">
      <alignment horizontal="center" vertical="center"/>
    </xf>
    <xf numFmtId="43" fontId="4" fillId="0" borderId="52" xfId="4" applyFont="1" applyFill="1" applyBorder="1" applyAlignment="1">
      <alignment horizontal="center" vertical="center"/>
    </xf>
    <xf numFmtId="43" fontId="4" fillId="0" borderId="34" xfId="3" applyNumberFormat="1" applyFont="1" applyBorder="1" applyAlignment="1">
      <alignment horizontal="center" vertical="center"/>
    </xf>
    <xf numFmtId="43" fontId="4" fillId="0" borderId="35" xfId="3" applyNumberFormat="1" applyFont="1" applyBorder="1" applyAlignment="1">
      <alignment horizontal="center" vertical="center"/>
    </xf>
    <xf numFmtId="0" fontId="13" fillId="0" borderId="54" xfId="3" applyFont="1" applyBorder="1" applyAlignment="1">
      <alignment horizontal="center" vertical="center" wrapText="1"/>
    </xf>
    <xf numFmtId="0" fontId="4" fillId="0" borderId="55" xfId="3" applyFont="1" applyBorder="1" applyAlignment="1">
      <alignment horizontal="center" vertical="center"/>
    </xf>
    <xf numFmtId="0" fontId="4" fillId="0" borderId="42" xfId="3" applyFont="1" applyBorder="1" applyAlignment="1">
      <alignment horizontal="center" vertical="center"/>
    </xf>
    <xf numFmtId="4" fontId="4" fillId="0" borderId="42" xfId="3" applyNumberFormat="1" applyFont="1" applyBorder="1" applyAlignment="1">
      <alignment horizontal="center" vertical="center"/>
    </xf>
    <xf numFmtId="0" fontId="13" fillId="0" borderId="39" xfId="3" applyFont="1" applyBorder="1" applyAlignment="1">
      <alignment horizontal="center" vertical="center" wrapText="1"/>
    </xf>
    <xf numFmtId="0" fontId="14" fillId="0" borderId="2" xfId="3" applyFont="1" applyBorder="1" applyAlignment="1">
      <alignment horizontal="center" vertical="center" wrapText="1"/>
    </xf>
    <xf numFmtId="0" fontId="4" fillId="0" borderId="30" xfId="3" applyFont="1" applyBorder="1" applyAlignment="1">
      <alignment horizontal="center" vertical="center"/>
    </xf>
    <xf numFmtId="0" fontId="4" fillId="0" borderId="24" xfId="3" applyFont="1" applyBorder="1" applyAlignment="1">
      <alignment horizontal="center" vertical="center"/>
    </xf>
    <xf numFmtId="4" fontId="4" fillId="0" borderId="30" xfId="3" applyNumberFormat="1" applyFont="1" applyBorder="1" applyAlignment="1">
      <alignment horizontal="center" vertical="center"/>
    </xf>
    <xf numFmtId="4" fontId="4" fillId="0" borderId="56" xfId="3" applyNumberFormat="1" applyFont="1" applyBorder="1" applyAlignment="1">
      <alignment horizontal="center" vertical="center"/>
    </xf>
    <xf numFmtId="43" fontId="4" fillId="0" borderId="57" xfId="4" applyFont="1" applyFill="1" applyBorder="1" applyAlignment="1">
      <alignment horizontal="center" vertical="center"/>
    </xf>
    <xf numFmtId="43" fontId="4" fillId="0" borderId="30" xfId="3" applyNumberFormat="1" applyFont="1" applyBorder="1" applyAlignment="1">
      <alignment horizontal="center" vertical="center"/>
    </xf>
    <xf numFmtId="43" fontId="4" fillId="0" borderId="24" xfId="3" applyNumberFormat="1" applyFont="1" applyBorder="1" applyAlignment="1">
      <alignment horizontal="center" vertical="center"/>
    </xf>
    <xf numFmtId="43" fontId="4" fillId="0" borderId="25" xfId="3" applyNumberFormat="1" applyFont="1" applyBorder="1" applyAlignment="1">
      <alignment horizontal="center" vertical="center"/>
    </xf>
    <xf numFmtId="0" fontId="13" fillId="0" borderId="58" xfId="3" applyFont="1" applyBorder="1" applyAlignment="1">
      <alignment horizontal="center" vertical="center" wrapText="1"/>
    </xf>
    <xf numFmtId="0" fontId="4" fillId="0" borderId="8" xfId="3" applyFont="1" applyBorder="1"/>
    <xf numFmtId="0" fontId="15" fillId="3" borderId="0" xfId="3" applyFont="1" applyFill="1"/>
    <xf numFmtId="0" fontId="4" fillId="0" borderId="7" xfId="3" applyFont="1" applyBorder="1"/>
    <xf numFmtId="0" fontId="4" fillId="0" borderId="59" xfId="3" applyFont="1" applyBorder="1"/>
    <xf numFmtId="0" fontId="3" fillId="0" borderId="37" xfId="3" applyFont="1" applyBorder="1"/>
    <xf numFmtId="15" fontId="3" fillId="0" borderId="37" xfId="3" applyNumberFormat="1" applyFont="1" applyBorder="1" applyAlignment="1">
      <alignment horizontal="center"/>
    </xf>
    <xf numFmtId="43" fontId="3" fillId="0" borderId="37" xfId="3" applyNumberFormat="1" applyFont="1" applyBorder="1" applyAlignment="1">
      <alignment horizontal="center"/>
    </xf>
    <xf numFmtId="0" fontId="4" fillId="0" borderId="8" xfId="3" applyFont="1" applyBorder="1" applyAlignment="1">
      <alignment horizontal="right"/>
    </xf>
    <xf numFmtId="0" fontId="4" fillId="0" borderId="60" xfId="3" applyFont="1" applyBorder="1" applyAlignment="1">
      <alignment horizontal="right"/>
    </xf>
    <xf numFmtId="0" fontId="4" fillId="0" borderId="0" xfId="3" applyFont="1" applyAlignment="1">
      <alignment horizontal="left" vertical="top" wrapText="1"/>
    </xf>
    <xf numFmtId="0" fontId="4" fillId="0" borderId="7" xfId="3" applyFont="1" applyBorder="1" applyAlignment="1">
      <alignment horizontal="left" vertical="top" wrapText="1"/>
    </xf>
    <xf numFmtId="0" fontId="4" fillId="0" borderId="0" xfId="3" applyFont="1" applyAlignment="1">
      <alignment horizontal="right"/>
    </xf>
    <xf numFmtId="0" fontId="3" fillId="0" borderId="61" xfId="3" applyFont="1" applyBorder="1" applyAlignment="1">
      <alignment horizontal="center" vertical="center"/>
    </xf>
    <xf numFmtId="0" fontId="3" fillId="0" borderId="62" xfId="3" applyFont="1" applyBorder="1" applyAlignment="1">
      <alignment horizontal="center" vertical="center"/>
    </xf>
    <xf numFmtId="0" fontId="4" fillId="0" borderId="0" xfId="3" applyFont="1" applyAlignment="1">
      <alignment horizontal="left" vertical="top" wrapText="1"/>
    </xf>
    <xf numFmtId="0" fontId="4" fillId="0" borderId="7" xfId="3" applyFont="1" applyBorder="1" applyAlignment="1">
      <alignment horizontal="left" vertical="top" wrapText="1"/>
    </xf>
    <xf numFmtId="0" fontId="4" fillId="0" borderId="63" xfId="3" applyFont="1" applyBorder="1" applyAlignment="1">
      <alignment horizontal="center" vertical="center"/>
    </xf>
    <xf numFmtId="0" fontId="4" fillId="0" borderId="64" xfId="3" applyFont="1" applyBorder="1" applyAlignment="1">
      <alignment horizontal="center" vertical="center"/>
    </xf>
    <xf numFmtId="0" fontId="4" fillId="0" borderId="65" xfId="3" applyFont="1" applyBorder="1" applyAlignment="1">
      <alignment horizontal="center" vertical="center"/>
    </xf>
    <xf numFmtId="43" fontId="4" fillId="0" borderId="54" xfId="4" applyFont="1" applyBorder="1" applyAlignment="1">
      <alignment horizontal="center" vertical="center"/>
    </xf>
    <xf numFmtId="43" fontId="4" fillId="0" borderId="55" xfId="4" applyFont="1" applyBorder="1" applyAlignment="1">
      <alignment horizontal="center" vertical="center"/>
    </xf>
    <xf numFmtId="0" fontId="4" fillId="0" borderId="0" xfId="3" applyFont="1" applyAlignment="1">
      <alignment horizontal="center" vertical="center"/>
    </xf>
    <xf numFmtId="43" fontId="4" fillId="0" borderId="0" xfId="3" applyNumberFormat="1" applyFont="1" applyAlignment="1">
      <alignment horizontal="center" vertical="center"/>
    </xf>
    <xf numFmtId="0" fontId="4" fillId="0" borderId="1" xfId="3" applyFont="1" applyBorder="1" applyAlignment="1">
      <alignment horizontal="center" vertical="center"/>
    </xf>
    <xf numFmtId="43" fontId="4" fillId="0" borderId="39" xfId="4" applyFont="1" applyBorder="1" applyAlignment="1">
      <alignment horizontal="center" vertical="center"/>
    </xf>
    <xf numFmtId="43" fontId="4" fillId="0" borderId="2" xfId="4" applyFont="1" applyBorder="1" applyAlignment="1">
      <alignment horizontal="center" vertical="center"/>
    </xf>
    <xf numFmtId="0" fontId="3" fillId="0" borderId="30" xfId="3" applyFont="1" applyBorder="1" applyAlignment="1">
      <alignment horizontal="center" vertical="center"/>
    </xf>
    <xf numFmtId="0" fontId="3" fillId="0" borderId="24" xfId="3" applyFont="1" applyBorder="1" applyAlignment="1">
      <alignment horizontal="center" vertical="center"/>
    </xf>
    <xf numFmtId="0" fontId="3" fillId="0" borderId="25" xfId="3" applyFont="1" applyBorder="1" applyAlignment="1">
      <alignment horizontal="center" vertical="center"/>
    </xf>
    <xf numFmtId="43" fontId="3" fillId="0" borderId="58" xfId="4" applyFont="1" applyFill="1" applyBorder="1" applyAlignment="1">
      <alignment horizontal="center" vertical="center"/>
    </xf>
    <xf numFmtId="43" fontId="3" fillId="0" borderId="66" xfId="4" applyFont="1" applyBorder="1" applyAlignment="1">
      <alignment horizontal="center" vertical="center"/>
    </xf>
    <xf numFmtId="0" fontId="5" fillId="0" borderId="67" xfId="3" applyFont="1" applyBorder="1" applyAlignment="1">
      <alignment horizontal="left" vertical="top" wrapText="1"/>
    </xf>
    <xf numFmtId="0" fontId="16" fillId="0" borderId="17" xfId="3" applyFont="1" applyBorder="1" applyAlignment="1">
      <alignment vertical="center"/>
    </xf>
    <xf numFmtId="0" fontId="16" fillId="0" borderId="17" xfId="3" applyFont="1" applyBorder="1" applyAlignment="1">
      <alignment horizontal="right" vertical="center"/>
    </xf>
    <xf numFmtId="0" fontId="16" fillId="0" borderId="68" xfId="3" applyFont="1" applyBorder="1" applyAlignment="1">
      <alignment vertical="center"/>
    </xf>
    <xf numFmtId="0" fontId="16" fillId="0" borderId="0" xfId="3" applyFont="1" applyAlignment="1">
      <alignment vertical="center"/>
    </xf>
    <xf numFmtId="0" fontId="16" fillId="0" borderId="9" xfId="3" applyFont="1" applyBorder="1" applyAlignment="1">
      <alignment vertical="center"/>
    </xf>
    <xf numFmtId="0" fontId="16" fillId="0" borderId="6" xfId="3" applyFont="1" applyBorder="1" applyAlignment="1">
      <alignment vertical="center"/>
    </xf>
    <xf numFmtId="0" fontId="16" fillId="0" borderId="69" xfId="3" applyFont="1" applyBorder="1" applyAlignment="1">
      <alignment vertical="center"/>
    </xf>
    <xf numFmtId="0" fontId="16" fillId="0" borderId="70" xfId="3" applyFont="1" applyBorder="1" applyAlignment="1">
      <alignment vertical="center"/>
    </xf>
    <xf numFmtId="0" fontId="16" fillId="0" borderId="51" xfId="3" applyFont="1" applyBorder="1" applyAlignment="1">
      <alignment vertical="center"/>
    </xf>
    <xf numFmtId="0" fontId="17" fillId="0" borderId="71" xfId="3" applyFont="1" applyBorder="1"/>
    <xf numFmtId="0" fontId="4" fillId="0" borderId="56" xfId="3" applyFont="1" applyBorder="1"/>
    <xf numFmtId="0" fontId="4" fillId="0" borderId="72" xfId="3" applyFont="1" applyBorder="1"/>
    <xf numFmtId="0" fontId="18" fillId="0" borderId="0" xfId="0" applyFont="1" applyAlignment="1" applyProtection="1">
      <alignment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protection locked="0"/>
    </xf>
    <xf numFmtId="0" fontId="19" fillId="0" borderId="67" xfId="3" applyFont="1" applyBorder="1" applyAlignment="1">
      <alignment horizontal="center" vertical="center"/>
    </xf>
    <xf numFmtId="0" fontId="19" fillId="0" borderId="17" xfId="3" applyFont="1" applyBorder="1" applyAlignment="1">
      <alignment horizontal="center" vertical="center"/>
    </xf>
    <xf numFmtId="0" fontId="20" fillId="0" borderId="73" xfId="3" applyFont="1" applyBorder="1" applyAlignment="1">
      <alignment horizontal="center" vertical="center" wrapText="1"/>
    </xf>
    <xf numFmtId="0" fontId="20" fillId="0" borderId="74" xfId="3" applyFont="1" applyBorder="1" applyAlignment="1">
      <alignment horizontal="center" vertical="center" wrapText="1"/>
    </xf>
    <xf numFmtId="0" fontId="18" fillId="0" borderId="41" xfId="0" applyFont="1" applyBorder="1" applyAlignment="1" applyProtection="1">
      <alignment vertical="center"/>
      <protection locked="0"/>
    </xf>
    <xf numFmtId="0" fontId="18" fillId="0" borderId="1" xfId="0" applyFont="1" applyBorder="1" applyAlignment="1" applyProtection="1">
      <alignment horizontal="center" vertical="center"/>
      <protection locked="0"/>
    </xf>
    <xf numFmtId="0" fontId="18" fillId="0" borderId="4" xfId="0" applyFont="1" applyBorder="1" applyAlignment="1" applyProtection="1">
      <alignment horizontal="center" vertical="center"/>
      <protection locked="0"/>
    </xf>
    <xf numFmtId="0" fontId="18" fillId="0" borderId="43" xfId="0" applyFont="1" applyBorder="1" applyAlignment="1" applyProtection="1">
      <alignment horizontal="center" vertical="center"/>
      <protection locked="0"/>
    </xf>
    <xf numFmtId="0" fontId="21" fillId="4" borderId="75" xfId="0" applyFont="1" applyFill="1" applyBorder="1" applyAlignment="1">
      <alignment vertical="top" wrapText="1"/>
    </xf>
    <xf numFmtId="0" fontId="21" fillId="4" borderId="60" xfId="0" applyFont="1" applyFill="1" applyBorder="1" applyAlignment="1">
      <alignment horizontal="right" vertical="top" wrapText="1"/>
    </xf>
    <xf numFmtId="0" fontId="21" fillId="4" borderId="60" xfId="0" applyFont="1" applyFill="1" applyBorder="1" applyAlignment="1">
      <alignment horizontal="center" vertical="top"/>
    </xf>
    <xf numFmtId="0" fontId="21" fillId="4" borderId="60" xfId="0" applyFont="1" applyFill="1" applyBorder="1" applyAlignment="1">
      <alignment horizontal="center" vertical="center" wrapText="1"/>
    </xf>
    <xf numFmtId="0" fontId="21" fillId="4" borderId="60" xfId="0" applyFont="1" applyFill="1" applyBorder="1" applyAlignment="1">
      <alignment vertical="top" wrapText="1"/>
    </xf>
    <xf numFmtId="14" fontId="22" fillId="0" borderId="60" xfId="0" applyNumberFormat="1" applyFont="1" applyBorder="1" applyAlignment="1" applyProtection="1">
      <alignment horizontal="center" vertical="center"/>
      <protection locked="0"/>
    </xf>
    <xf numFmtId="0" fontId="23" fillId="0" borderId="0" xfId="0" applyFont="1" applyAlignment="1" applyProtection="1">
      <alignment vertical="center"/>
      <protection locked="0"/>
    </xf>
    <xf numFmtId="14" fontId="22" fillId="0" borderId="60" xfId="0" applyNumberFormat="1" applyFont="1" applyBorder="1" applyAlignment="1" applyProtection="1">
      <alignment horizontal="right" vertical="center"/>
      <protection locked="0"/>
    </xf>
    <xf numFmtId="0" fontId="21" fillId="0" borderId="60" xfId="1" applyNumberFormat="1" applyFont="1" applyFill="1" applyBorder="1" applyAlignment="1" applyProtection="1">
      <alignment horizontal="left" vertical="center"/>
      <protection locked="0"/>
    </xf>
    <xf numFmtId="0" fontId="22" fillId="0" borderId="76" xfId="0" applyFont="1" applyBorder="1" applyAlignment="1" applyProtection="1">
      <alignment horizontal="center" vertical="center"/>
      <protection locked="0"/>
    </xf>
    <xf numFmtId="14" fontId="22" fillId="0" borderId="76" xfId="0" applyNumberFormat="1" applyFont="1" applyBorder="1" applyAlignment="1" applyProtection="1">
      <alignment horizontal="center" vertical="center"/>
      <protection locked="0"/>
    </xf>
    <xf numFmtId="14" fontId="22" fillId="0" borderId="77" xfId="0" applyNumberFormat="1" applyFont="1" applyBorder="1" applyAlignment="1" applyProtection="1">
      <alignment horizontal="center" vertical="center"/>
      <protection locked="0"/>
    </xf>
    <xf numFmtId="0" fontId="16" fillId="0" borderId="16" xfId="0" applyFont="1" applyBorder="1" applyAlignment="1" applyProtection="1">
      <alignment horizontal="center" vertical="center"/>
      <protection locked="0"/>
    </xf>
    <xf numFmtId="0" fontId="16" fillId="0" borderId="18" xfId="0" applyFont="1" applyBorder="1" applyAlignment="1" applyProtection="1">
      <alignment horizontal="center" vertical="center" wrapText="1"/>
      <protection locked="0"/>
    </xf>
    <xf numFmtId="0" fontId="16" fillId="0" borderId="78" xfId="0" applyFont="1" applyBorder="1" applyAlignment="1" applyProtection="1">
      <alignment vertical="center" wrapText="1"/>
      <protection locked="0"/>
    </xf>
    <xf numFmtId="0" fontId="16" fillId="0" borderId="79" xfId="0" applyFont="1" applyBorder="1" applyAlignment="1" applyProtection="1">
      <alignment horizontal="center" vertical="center" wrapText="1"/>
      <protection locked="0"/>
    </xf>
    <xf numFmtId="0" fontId="16" fillId="0" borderId="79" xfId="0" applyFont="1" applyBorder="1" applyAlignment="1" applyProtection="1">
      <alignment vertical="center" wrapText="1"/>
      <protection locked="0"/>
    </xf>
    <xf numFmtId="0" fontId="16" fillId="5" borderId="13" xfId="0" applyFont="1" applyFill="1" applyBorder="1" applyAlignment="1" applyProtection="1">
      <alignment horizontal="center" vertical="center"/>
      <protection locked="0"/>
    </xf>
    <xf numFmtId="0" fontId="16" fillId="5" borderId="19" xfId="0" applyFont="1" applyFill="1" applyBorder="1" applyAlignment="1" applyProtection="1">
      <alignment horizontal="center" vertical="center"/>
      <protection locked="0"/>
    </xf>
    <xf numFmtId="0" fontId="16" fillId="5" borderId="14" xfId="0" applyFont="1" applyFill="1" applyBorder="1" applyAlignment="1" applyProtection="1">
      <alignment horizontal="center" vertical="center"/>
      <protection locked="0"/>
    </xf>
    <xf numFmtId="0" fontId="16" fillId="5" borderId="80" xfId="0" applyFont="1" applyFill="1" applyBorder="1" applyAlignment="1" applyProtection="1">
      <alignment horizontal="center" vertical="center"/>
      <protection locked="0"/>
    </xf>
    <xf numFmtId="0" fontId="16" fillId="0" borderId="19" xfId="0" applyFont="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16" fillId="0" borderId="80" xfId="0" applyFont="1" applyBorder="1" applyAlignment="1" applyProtection="1">
      <alignment horizontal="center" vertical="center" wrapText="1"/>
      <protection locked="0"/>
    </xf>
    <xf numFmtId="0" fontId="16" fillId="0" borderId="81" xfId="0" applyFont="1" applyBorder="1" applyAlignment="1" applyProtection="1">
      <alignment horizontal="center" vertical="center"/>
      <protection locked="0"/>
    </xf>
    <xf numFmtId="0" fontId="16" fillId="0" borderId="73" xfId="0" applyFont="1" applyBorder="1" applyAlignment="1" applyProtection="1">
      <alignment horizontal="center" vertical="center"/>
      <protection locked="0"/>
    </xf>
    <xf numFmtId="0" fontId="16" fillId="0" borderId="74" xfId="0" applyFont="1" applyBorder="1" applyAlignment="1" applyProtection="1">
      <alignment horizontal="center" vertical="center"/>
      <protection locked="0"/>
    </xf>
    <xf numFmtId="0" fontId="16" fillId="0" borderId="13" xfId="0" applyFont="1" applyBorder="1" applyAlignment="1" applyProtection="1">
      <alignment horizontal="center" vertical="center"/>
      <protection locked="0"/>
    </xf>
    <xf numFmtId="0" fontId="16" fillId="0" borderId="19" xfId="0" applyFont="1" applyBorder="1" applyAlignment="1" applyProtection="1">
      <alignment horizontal="center" vertical="center"/>
      <protection locked="0"/>
    </xf>
    <xf numFmtId="0" fontId="16" fillId="0" borderId="14" xfId="0" applyFont="1" applyBorder="1" applyAlignment="1" applyProtection="1">
      <alignment horizontal="center" vertical="center"/>
      <protection locked="0"/>
    </xf>
    <xf numFmtId="0" fontId="16" fillId="0" borderId="80" xfId="0" applyFont="1" applyBorder="1" applyAlignment="1" applyProtection="1">
      <alignment horizontal="center" vertical="center"/>
      <protection locked="0"/>
    </xf>
    <xf numFmtId="0" fontId="16" fillId="0" borderId="15" xfId="0" applyFont="1" applyBorder="1" applyAlignment="1" applyProtection="1">
      <alignment horizontal="center" vertical="center"/>
      <protection locked="0"/>
    </xf>
    <xf numFmtId="0" fontId="16" fillId="0" borderId="82" xfId="0" applyFont="1" applyBorder="1" applyAlignment="1" applyProtection="1">
      <alignment horizontal="center" vertical="center"/>
      <protection locked="0"/>
    </xf>
    <xf numFmtId="0" fontId="16" fillId="0" borderId="83" xfId="0" applyFont="1" applyBorder="1" applyAlignment="1" applyProtection="1">
      <alignment horizontal="center" vertical="center" wrapText="1"/>
      <protection locked="0"/>
    </xf>
    <xf numFmtId="0" fontId="16" fillId="0" borderId="84" xfId="0" applyFont="1" applyBorder="1" applyAlignment="1" applyProtection="1">
      <alignment horizontal="center" vertical="center" wrapText="1"/>
      <protection locked="0"/>
    </xf>
    <xf numFmtId="0" fontId="17" fillId="0" borderId="41" xfId="0" applyFont="1" applyBorder="1" applyAlignment="1" applyProtection="1">
      <alignment horizontal="center" vertical="center" wrapText="1"/>
      <protection locked="0"/>
    </xf>
    <xf numFmtId="0" fontId="17" fillId="0" borderId="5" xfId="0" applyFont="1" applyBorder="1" applyAlignment="1" applyProtection="1">
      <alignment horizontal="center" vertical="center" wrapText="1"/>
      <protection locked="0"/>
    </xf>
    <xf numFmtId="0" fontId="17" fillId="0" borderId="37" xfId="0" applyFont="1" applyBorder="1" applyAlignment="1" applyProtection="1">
      <alignment horizontal="center" vertical="center" wrapText="1"/>
      <protection locked="0"/>
    </xf>
    <xf numFmtId="0" fontId="17" fillId="0" borderId="36" xfId="0" applyFont="1" applyBorder="1" applyAlignment="1" applyProtection="1">
      <alignment horizontal="center" vertical="center" wrapText="1"/>
      <protection locked="0"/>
    </xf>
    <xf numFmtId="0" fontId="17" fillId="0" borderId="5" xfId="0" quotePrefix="1" applyFont="1" applyBorder="1" applyAlignment="1" applyProtection="1">
      <alignment horizontal="center" vertical="center" wrapText="1"/>
      <protection locked="0"/>
    </xf>
    <xf numFmtId="0" fontId="17" fillId="0" borderId="85" xfId="0" applyFont="1" applyBorder="1" applyAlignment="1" applyProtection="1">
      <alignment horizontal="center" vertical="center" wrapText="1"/>
      <protection locked="0"/>
    </xf>
    <xf numFmtId="0" fontId="17" fillId="0" borderId="4" xfId="0" applyFont="1" applyBorder="1" applyAlignment="1" applyProtection="1">
      <alignment horizontal="center" vertical="center" wrapText="1"/>
      <protection locked="0"/>
    </xf>
    <xf numFmtId="0" fontId="17" fillId="0" borderId="43" xfId="0" applyFont="1" applyBorder="1" applyAlignment="1" applyProtection="1">
      <alignment horizontal="center" vertical="center" wrapText="1"/>
      <protection locked="0"/>
    </xf>
    <xf numFmtId="0" fontId="17" fillId="0" borderId="1" xfId="0" applyFont="1" applyBorder="1" applyAlignment="1" applyProtection="1">
      <alignment horizontal="center" vertical="center" wrapText="1"/>
      <protection locked="0"/>
    </xf>
    <xf numFmtId="0" fontId="24" fillId="0" borderId="41" xfId="0" applyFont="1" applyBorder="1" applyAlignment="1" applyProtection="1">
      <alignment horizontal="center" vertical="center" wrapText="1"/>
      <protection locked="0"/>
    </xf>
    <xf numFmtId="0" fontId="24" fillId="0" borderId="5" xfId="0" applyFont="1" applyBorder="1" applyAlignment="1" applyProtection="1">
      <alignment horizontal="center" vertical="center" wrapText="1"/>
      <protection locked="0"/>
    </xf>
    <xf numFmtId="0" fontId="24" fillId="0" borderId="37" xfId="0" applyFont="1" applyBorder="1" applyAlignment="1" applyProtection="1">
      <alignment horizontal="center" vertical="center" wrapText="1"/>
      <protection locked="0"/>
    </xf>
    <xf numFmtId="0" fontId="24" fillId="0" borderId="36" xfId="0" applyFont="1" applyBorder="1" applyAlignment="1" applyProtection="1">
      <alignment horizontal="center" vertical="center" wrapText="1"/>
      <protection locked="0"/>
    </xf>
    <xf numFmtId="0" fontId="24" fillId="6" borderId="37" xfId="0" applyFont="1" applyFill="1" applyBorder="1" applyAlignment="1" applyProtection="1">
      <alignment horizontal="center" vertical="center" wrapText="1"/>
      <protection locked="0"/>
    </xf>
    <xf numFmtId="0" fontId="24" fillId="6" borderId="36" xfId="0" applyFont="1" applyFill="1" applyBorder="1" applyAlignment="1" applyProtection="1">
      <alignment horizontal="center" vertical="center" wrapText="1"/>
      <protection locked="0"/>
    </xf>
    <xf numFmtId="0" fontId="24" fillId="0" borderId="1" xfId="0" applyFont="1" applyBorder="1" applyAlignment="1" applyProtection="1">
      <alignment horizontal="center" vertical="center" wrapText="1"/>
      <protection locked="0"/>
    </xf>
    <xf numFmtId="0" fontId="24" fillId="0" borderId="85" xfId="0" applyFont="1" applyBorder="1" applyAlignment="1" applyProtection="1">
      <alignment horizontal="center" vertical="center" wrapText="1"/>
      <protection locked="0"/>
    </xf>
    <xf numFmtId="0" fontId="24" fillId="0" borderId="4" xfId="0" applyFont="1" applyBorder="1" applyAlignment="1" applyProtection="1">
      <alignment horizontal="center" vertical="center" wrapText="1"/>
      <protection locked="0"/>
    </xf>
    <xf numFmtId="0" fontId="24" fillId="6" borderId="4" xfId="0" applyFont="1" applyFill="1" applyBorder="1" applyAlignment="1" applyProtection="1">
      <alignment horizontal="center" vertical="center" wrapText="1"/>
      <protection locked="0"/>
    </xf>
    <xf numFmtId="0" fontId="24" fillId="6" borderId="43" xfId="0" applyFont="1" applyFill="1" applyBorder="1" applyAlignment="1" applyProtection="1">
      <alignment horizontal="center" vertical="center" wrapText="1"/>
      <protection locked="0"/>
    </xf>
    <xf numFmtId="0" fontId="24" fillId="6" borderId="1" xfId="0" applyFont="1" applyFill="1" applyBorder="1" applyAlignment="1" applyProtection="1">
      <alignment horizontal="center" vertical="center" wrapText="1"/>
      <protection locked="0"/>
    </xf>
    <xf numFmtId="0" fontId="25" fillId="0" borderId="0" xfId="0" applyFont="1" applyAlignment="1" applyProtection="1">
      <alignment vertical="center"/>
      <protection locked="0"/>
    </xf>
    <xf numFmtId="14" fontId="17" fillId="0" borderId="41" xfId="0" applyNumberFormat="1" applyFont="1" applyBorder="1" applyAlignment="1" applyProtection="1">
      <alignment horizontal="center" vertical="center" wrapText="1"/>
      <protection locked="0"/>
    </xf>
    <xf numFmtId="14" fontId="17" fillId="0" borderId="5" xfId="0" applyNumberFormat="1" applyFont="1" applyBorder="1" applyAlignment="1" applyProtection="1">
      <alignment horizontal="center" vertical="center" wrapText="1"/>
      <protection locked="0"/>
    </xf>
    <xf numFmtId="14" fontId="17" fillId="0" borderId="37" xfId="0" applyNumberFormat="1" applyFont="1" applyBorder="1" applyAlignment="1" applyProtection="1">
      <alignment horizontal="center" vertical="center" wrapText="1"/>
      <protection locked="0"/>
    </xf>
    <xf numFmtId="14" fontId="17" fillId="0" borderId="36" xfId="0" applyNumberFormat="1" applyFont="1" applyBorder="1" applyAlignment="1" applyProtection="1">
      <alignment horizontal="center" vertical="center" wrapText="1"/>
      <protection locked="0"/>
    </xf>
    <xf numFmtId="14" fontId="17" fillId="6" borderId="37" xfId="0" applyNumberFormat="1" applyFont="1" applyFill="1" applyBorder="1" applyAlignment="1" applyProtection="1">
      <alignment horizontal="center" vertical="center" wrapText="1"/>
      <protection locked="0"/>
    </xf>
    <xf numFmtId="14" fontId="17" fillId="6" borderId="36" xfId="0" applyNumberFormat="1" applyFont="1" applyFill="1" applyBorder="1" applyAlignment="1" applyProtection="1">
      <alignment horizontal="center" vertical="center" wrapText="1"/>
      <protection locked="0"/>
    </xf>
    <xf numFmtId="14" fontId="17" fillId="0" borderId="1" xfId="0" applyNumberFormat="1" applyFont="1" applyBorder="1" applyAlignment="1" applyProtection="1">
      <alignment horizontal="center" vertical="center" wrapText="1"/>
      <protection locked="0"/>
    </xf>
    <xf numFmtId="14" fontId="17" fillId="0" borderId="85" xfId="0" applyNumberFormat="1" applyFont="1" applyBorder="1" applyAlignment="1" applyProtection="1">
      <alignment horizontal="center" vertical="center" wrapText="1"/>
      <protection locked="0"/>
    </xf>
    <xf numFmtId="14" fontId="17" fillId="0" borderId="4" xfId="0" applyNumberFormat="1" applyFont="1" applyBorder="1" applyAlignment="1" applyProtection="1">
      <alignment horizontal="center" vertical="center" wrapText="1"/>
      <protection locked="0"/>
    </xf>
    <xf numFmtId="14" fontId="17" fillId="6" borderId="4" xfId="0" applyNumberFormat="1" applyFont="1" applyFill="1" applyBorder="1" applyAlignment="1" applyProtection="1">
      <alignment horizontal="center" vertical="center" wrapText="1"/>
      <protection locked="0"/>
    </xf>
    <xf numFmtId="14" fontId="17" fillId="6" borderId="43" xfId="0" applyNumberFormat="1" applyFont="1" applyFill="1" applyBorder="1" applyAlignment="1" applyProtection="1">
      <alignment horizontal="center" vertical="center" wrapText="1"/>
      <protection locked="0"/>
    </xf>
    <xf numFmtId="14" fontId="17" fillId="6" borderId="1" xfId="0" applyNumberFormat="1" applyFont="1" applyFill="1" applyBorder="1" applyAlignment="1" applyProtection="1">
      <alignment horizontal="center" vertical="center" wrapText="1"/>
      <protection locked="0"/>
    </xf>
    <xf numFmtId="0" fontId="17" fillId="6" borderId="43" xfId="0" applyFont="1" applyFill="1" applyBorder="1" applyAlignment="1" applyProtection="1">
      <alignment horizontal="center" vertical="center" wrapText="1"/>
      <protection locked="0"/>
    </xf>
    <xf numFmtId="14" fontId="16" fillId="0" borderId="41" xfId="0" applyNumberFormat="1" applyFont="1" applyBorder="1" applyAlignment="1" applyProtection="1">
      <alignment horizontal="center" vertical="center" wrapText="1"/>
      <protection locked="0"/>
    </xf>
    <xf numFmtId="14" fontId="16" fillId="0" borderId="5" xfId="0" applyNumberFormat="1" applyFont="1" applyBorder="1" applyAlignment="1" applyProtection="1">
      <alignment horizontal="center" vertical="center" wrapText="1"/>
      <protection locked="0"/>
    </xf>
    <xf numFmtId="14" fontId="16" fillId="0" borderId="37" xfId="0" applyNumberFormat="1" applyFont="1" applyBorder="1" applyAlignment="1" applyProtection="1">
      <alignment horizontal="center" vertical="center" wrapText="1"/>
      <protection locked="0"/>
    </xf>
    <xf numFmtId="14" fontId="16" fillId="0" borderId="36" xfId="0" applyNumberFormat="1" applyFont="1" applyBorder="1" applyAlignment="1" applyProtection="1">
      <alignment horizontal="center" vertical="center" wrapText="1"/>
      <protection locked="0"/>
    </xf>
    <xf numFmtId="14" fontId="16" fillId="6" borderId="37" xfId="0" applyNumberFormat="1" applyFont="1" applyFill="1" applyBorder="1" applyAlignment="1" applyProtection="1">
      <alignment horizontal="center" vertical="center" wrapText="1"/>
      <protection locked="0"/>
    </xf>
    <xf numFmtId="14" fontId="16" fillId="6" borderId="36" xfId="0" applyNumberFormat="1" applyFont="1" applyFill="1" applyBorder="1" applyAlignment="1" applyProtection="1">
      <alignment horizontal="center" vertical="center" wrapText="1"/>
      <protection locked="0"/>
    </xf>
    <xf numFmtId="14" fontId="16" fillId="0" borderId="85" xfId="0" applyNumberFormat="1" applyFont="1" applyBorder="1" applyAlignment="1" applyProtection="1">
      <alignment horizontal="center" vertical="center" wrapText="1"/>
      <protection locked="0"/>
    </xf>
    <xf numFmtId="14" fontId="16" fillId="0" borderId="4" xfId="0" applyNumberFormat="1" applyFont="1" applyBorder="1" applyAlignment="1" applyProtection="1">
      <alignment horizontal="center" vertical="center" wrapText="1"/>
      <protection locked="0"/>
    </xf>
    <xf numFmtId="14" fontId="16" fillId="0" borderId="1" xfId="0" applyNumberFormat="1" applyFont="1" applyBorder="1" applyAlignment="1" applyProtection="1">
      <alignment horizontal="center" vertical="center" wrapText="1"/>
      <protection locked="0"/>
    </xf>
    <xf numFmtId="14" fontId="16" fillId="6" borderId="4" xfId="0" applyNumberFormat="1" applyFont="1" applyFill="1" applyBorder="1" applyAlignment="1" applyProtection="1">
      <alignment horizontal="center" vertical="center" wrapText="1"/>
      <protection locked="0"/>
    </xf>
    <xf numFmtId="14" fontId="16" fillId="6" borderId="43" xfId="0" applyNumberFormat="1" applyFont="1" applyFill="1" applyBorder="1" applyAlignment="1" applyProtection="1">
      <alignment horizontal="center" vertical="center" wrapText="1"/>
      <protection locked="0"/>
    </xf>
    <xf numFmtId="14" fontId="16" fillId="6" borderId="5" xfId="0" applyNumberFormat="1" applyFont="1" applyFill="1" applyBorder="1" applyAlignment="1" applyProtection="1">
      <alignment horizontal="center" vertical="center" wrapText="1"/>
      <protection locked="0"/>
    </xf>
    <xf numFmtId="0" fontId="16" fillId="0" borderId="85"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6" fillId="6" borderId="1" xfId="0" applyFont="1" applyFill="1" applyBorder="1" applyAlignment="1" applyProtection="1">
      <alignment horizontal="center" vertical="center" wrapText="1"/>
      <protection locked="0"/>
    </xf>
    <xf numFmtId="0" fontId="16" fillId="6" borderId="43" xfId="0" applyFont="1" applyFill="1" applyBorder="1" applyAlignment="1" applyProtection="1">
      <alignment horizontal="center" vertical="center" wrapText="1"/>
      <protection locked="0"/>
    </xf>
    <xf numFmtId="14" fontId="26" fillId="0" borderId="41" xfId="0" applyNumberFormat="1" applyFont="1" applyBorder="1" applyAlignment="1" applyProtection="1">
      <alignment horizontal="center" vertical="center" wrapText="1"/>
      <protection locked="0"/>
    </xf>
    <xf numFmtId="14" fontId="26" fillId="0" borderId="1" xfId="0" applyNumberFormat="1" applyFont="1" applyBorder="1" applyAlignment="1" applyProtection="1">
      <alignment horizontal="center" vertical="center" wrapText="1"/>
      <protection locked="0"/>
    </xf>
    <xf numFmtId="14" fontId="26" fillId="0" borderId="37" xfId="0" applyNumberFormat="1" applyFont="1" applyBorder="1" applyAlignment="1" applyProtection="1">
      <alignment horizontal="center" vertical="center" wrapText="1"/>
      <protection locked="0"/>
    </xf>
    <xf numFmtId="14" fontId="26" fillId="6" borderId="36" xfId="0" applyNumberFormat="1" applyFont="1" applyFill="1" applyBorder="1" applyAlignment="1" applyProtection="1">
      <alignment horizontal="center" vertical="center" wrapText="1"/>
      <protection locked="0"/>
    </xf>
    <xf numFmtId="14" fontId="16" fillId="6" borderId="1" xfId="0" applyNumberFormat="1" applyFont="1" applyFill="1" applyBorder="1" applyAlignment="1" applyProtection="1">
      <alignment horizontal="center" vertical="center" wrapText="1"/>
      <protection locked="0"/>
    </xf>
    <xf numFmtId="14" fontId="16" fillId="0" borderId="43" xfId="0" applyNumberFormat="1" applyFont="1" applyBorder="1" applyAlignment="1" applyProtection="1">
      <alignment horizontal="center" vertical="center" wrapText="1"/>
      <protection locked="0"/>
    </xf>
    <xf numFmtId="0" fontId="22" fillId="0" borderId="0" xfId="0" applyFont="1" applyAlignment="1" applyProtection="1">
      <alignment vertical="center"/>
      <protection locked="0"/>
    </xf>
    <xf numFmtId="0" fontId="16" fillId="0" borderId="33" xfId="0" applyFont="1" applyBorder="1" applyAlignment="1" applyProtection="1">
      <alignment horizontal="center" vertical="center"/>
      <protection locked="0"/>
    </xf>
    <xf numFmtId="0" fontId="16" fillId="0" borderId="86" xfId="0" applyFont="1" applyBorder="1" applyAlignment="1" applyProtection="1">
      <alignment horizontal="center" vertical="center" wrapText="1"/>
      <protection locked="0"/>
    </xf>
    <xf numFmtId="0" fontId="16" fillId="0" borderId="34" xfId="0" applyFont="1" applyBorder="1" applyAlignment="1" applyProtection="1">
      <alignment horizontal="center" vertical="center" wrapText="1"/>
      <protection locked="0"/>
    </xf>
    <xf numFmtId="0" fontId="16" fillId="0" borderId="41" xfId="0" applyFont="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16" fillId="0" borderId="37" xfId="0" applyFont="1" applyBorder="1" applyAlignment="1" applyProtection="1">
      <alignment horizontal="center" vertical="center" wrapText="1"/>
      <protection locked="0"/>
    </xf>
    <xf numFmtId="0" fontId="16" fillId="0" borderId="36" xfId="0" applyFont="1" applyBorder="1" applyAlignment="1" applyProtection="1">
      <alignment horizontal="center" vertical="center" wrapText="1"/>
      <protection locked="0"/>
    </xf>
    <xf numFmtId="0" fontId="16" fillId="6" borderId="37" xfId="0" applyFont="1" applyFill="1" applyBorder="1" applyAlignment="1" applyProtection="1">
      <alignment horizontal="center" vertical="center" wrapText="1"/>
      <protection locked="0"/>
    </xf>
    <xf numFmtId="0" fontId="16" fillId="6" borderId="36" xfId="0" applyFont="1" applyFill="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16" fillId="6" borderId="41" xfId="0" applyFont="1" applyFill="1" applyBorder="1" applyAlignment="1" applyProtection="1">
      <alignment horizontal="center" vertical="center" wrapText="1"/>
      <protection locked="0"/>
    </xf>
    <xf numFmtId="0" fontId="16" fillId="6" borderId="5" xfId="0" applyFont="1" applyFill="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6" borderId="1" xfId="0" applyFont="1" applyFill="1" applyBorder="1" applyAlignment="1" applyProtection="1">
      <alignment horizontal="center" vertical="center" wrapText="1"/>
      <protection locked="0"/>
    </xf>
    <xf numFmtId="0" fontId="16" fillId="7" borderId="41" xfId="0" applyFont="1" applyFill="1" applyBorder="1" applyAlignment="1" applyProtection="1">
      <alignment horizontal="center" vertical="center"/>
      <protection locked="0"/>
    </xf>
    <xf numFmtId="0" fontId="22" fillId="7" borderId="1" xfId="0" applyFont="1" applyFill="1" applyBorder="1" applyAlignment="1">
      <alignment horizontal="left" vertical="center" wrapText="1"/>
    </xf>
    <xf numFmtId="43" fontId="16" fillId="7" borderId="37" xfId="1" applyFont="1" applyFill="1" applyBorder="1" applyAlignment="1" applyProtection="1">
      <alignment horizontal="center" vertical="center" wrapText="1"/>
      <protection locked="0"/>
    </xf>
    <xf numFmtId="43" fontId="16" fillId="7" borderId="1" xfId="1" applyFont="1" applyFill="1" applyBorder="1" applyAlignment="1" applyProtection="1">
      <alignment horizontal="center" vertical="center" wrapText="1"/>
      <protection locked="0"/>
    </xf>
    <xf numFmtId="43" fontId="16" fillId="7" borderId="1" xfId="1" applyFont="1" applyFill="1" applyBorder="1" applyAlignment="1" applyProtection="1">
      <alignment horizontal="right" vertical="center" wrapText="1"/>
      <protection locked="0"/>
    </xf>
    <xf numFmtId="43" fontId="16" fillId="7" borderId="41" xfId="1" applyFont="1" applyFill="1" applyBorder="1" applyAlignment="1" applyProtection="1">
      <alignment horizontal="right" vertical="center" wrapText="1"/>
      <protection locked="0"/>
    </xf>
    <xf numFmtId="43" fontId="16" fillId="7" borderId="5" xfId="1" applyFont="1" applyFill="1" applyBorder="1" applyAlignment="1" applyProtection="1">
      <alignment horizontal="right" vertical="center" wrapText="1"/>
      <protection locked="0"/>
    </xf>
    <xf numFmtId="43" fontId="16" fillId="7" borderId="37" xfId="1" applyFont="1" applyFill="1" applyBorder="1" applyAlignment="1" applyProtection="1">
      <alignment horizontal="right" vertical="center" wrapText="1"/>
      <protection locked="0"/>
    </xf>
    <xf numFmtId="43" fontId="16" fillId="7" borderId="36" xfId="1" applyFont="1" applyFill="1" applyBorder="1" applyAlignment="1" applyProtection="1">
      <alignment horizontal="right" vertical="center" wrapText="1"/>
      <protection locked="0"/>
    </xf>
    <xf numFmtId="43" fontId="16" fillId="7" borderId="4" xfId="1" applyFont="1" applyFill="1" applyBorder="1" applyAlignment="1" applyProtection="1">
      <alignment horizontal="right" vertical="center" wrapText="1"/>
      <protection locked="0"/>
    </xf>
    <xf numFmtId="0" fontId="16" fillId="0" borderId="41" xfId="0" applyFont="1" applyBorder="1" applyAlignment="1" applyProtection="1">
      <alignment horizontal="center" vertical="center"/>
      <protection locked="0"/>
    </xf>
    <xf numFmtId="0" fontId="22" fillId="4" borderId="1" xfId="0" applyFont="1" applyFill="1" applyBorder="1" applyAlignment="1">
      <alignment horizontal="left" vertical="center" wrapText="1"/>
    </xf>
    <xf numFmtId="0" fontId="23" fillId="0" borderId="41" xfId="0" applyFont="1" applyBorder="1" applyAlignment="1">
      <alignment horizontal="center" vertical="center"/>
    </xf>
    <xf numFmtId="43" fontId="23" fillId="0" borderId="37" xfId="1" applyFont="1" applyBorder="1" applyAlignment="1">
      <alignment horizontal="center" vertical="center"/>
    </xf>
    <xf numFmtId="43" fontId="23" fillId="0" borderId="1" xfId="1" applyFont="1" applyBorder="1" applyAlignment="1">
      <alignment horizontal="center" vertical="center"/>
    </xf>
    <xf numFmtId="43" fontId="17" fillId="0" borderId="1" xfId="1" applyFont="1" applyBorder="1" applyAlignment="1" applyProtection="1">
      <alignment horizontal="right" vertical="center" wrapText="1"/>
      <protection locked="0"/>
    </xf>
    <xf numFmtId="43" fontId="23" fillId="0" borderId="41" xfId="1" applyFont="1" applyFill="1" applyBorder="1" applyAlignment="1">
      <alignment horizontal="right" vertical="center"/>
    </xf>
    <xf numFmtId="43" fontId="23" fillId="0" borderId="5" xfId="1" applyFont="1" applyFill="1" applyBorder="1" applyAlignment="1">
      <alignment horizontal="right" vertical="center"/>
    </xf>
    <xf numFmtId="43" fontId="23" fillId="0" borderId="37" xfId="1" applyFont="1" applyFill="1" applyBorder="1" applyAlignment="1">
      <alignment horizontal="right" vertical="center"/>
    </xf>
    <xf numFmtId="43" fontId="23" fillId="0" borderId="36" xfId="1" applyFont="1" applyFill="1" applyBorder="1" applyAlignment="1">
      <alignment horizontal="right" vertical="center"/>
    </xf>
    <xf numFmtId="43" fontId="23" fillId="6" borderId="37" xfId="1" applyFont="1" applyFill="1" applyBorder="1" applyAlignment="1">
      <alignment horizontal="right" vertical="center"/>
    </xf>
    <xf numFmtId="43" fontId="23" fillId="6" borderId="36" xfId="1" applyFont="1" applyFill="1" applyBorder="1" applyAlignment="1">
      <alignment horizontal="right" vertical="center"/>
    </xf>
    <xf numFmtId="43" fontId="23" fillId="0" borderId="1" xfId="1" applyFont="1" applyFill="1" applyBorder="1" applyAlignment="1">
      <alignment horizontal="right" vertical="center"/>
    </xf>
    <xf numFmtId="43" fontId="23" fillId="6" borderId="5" xfId="1" applyFont="1" applyFill="1" applyBorder="1" applyAlignment="1">
      <alignment horizontal="right" vertical="center"/>
    </xf>
    <xf numFmtId="43" fontId="23" fillId="0" borderId="4" xfId="1" applyFont="1" applyFill="1" applyBorder="1" applyAlignment="1">
      <alignment horizontal="right" vertical="center"/>
    </xf>
    <xf numFmtId="0" fontId="23" fillId="4" borderId="1" xfId="0" applyFont="1" applyFill="1" applyBorder="1" applyAlignment="1">
      <alignment horizontal="left" vertical="center" wrapText="1"/>
    </xf>
    <xf numFmtId="0" fontId="23" fillId="8" borderId="1" xfId="0" applyFont="1" applyFill="1" applyBorder="1" applyAlignment="1">
      <alignment horizontal="left" vertical="center" wrapText="1"/>
    </xf>
    <xf numFmtId="43" fontId="27" fillId="9" borderId="41" xfId="1" applyFont="1" applyFill="1" applyBorder="1" applyAlignment="1">
      <alignment horizontal="right" vertical="center"/>
    </xf>
    <xf numFmtId="43" fontId="27" fillId="9" borderId="5" xfId="1" applyFont="1" applyFill="1" applyBorder="1" applyAlignment="1">
      <alignment horizontal="right" vertical="center"/>
    </xf>
    <xf numFmtId="43" fontId="27" fillId="9" borderId="37" xfId="1" applyFont="1" applyFill="1" applyBorder="1" applyAlignment="1">
      <alignment horizontal="right" vertical="center"/>
    </xf>
    <xf numFmtId="43" fontId="27" fillId="9" borderId="4" xfId="1" applyFont="1" applyFill="1" applyBorder="1" applyAlignment="1">
      <alignment horizontal="right" vertical="center"/>
    </xf>
    <xf numFmtId="43" fontId="27" fillId="9" borderId="1" xfId="1" applyFont="1" applyFill="1" applyBorder="1" applyAlignment="1">
      <alignment horizontal="right" vertical="center"/>
    </xf>
    <xf numFmtId="43" fontId="23" fillId="9" borderId="41" xfId="1" applyFont="1" applyFill="1" applyBorder="1" applyAlignment="1">
      <alignment horizontal="right" vertical="center"/>
    </xf>
    <xf numFmtId="43" fontId="23" fillId="9" borderId="4" xfId="1" applyFont="1" applyFill="1" applyBorder="1" applyAlignment="1">
      <alignment horizontal="right" vertical="center"/>
    </xf>
    <xf numFmtId="43" fontId="23" fillId="9" borderId="1" xfId="1" applyFont="1" applyFill="1" applyBorder="1" applyAlignment="1">
      <alignment horizontal="right" vertical="center"/>
    </xf>
    <xf numFmtId="0" fontId="17" fillId="4" borderId="1" xfId="0" applyFont="1" applyFill="1" applyBorder="1" applyAlignment="1">
      <alignment horizontal="left" vertical="center" wrapText="1"/>
    </xf>
    <xf numFmtId="0" fontId="27" fillId="8" borderId="1" xfId="0" applyFont="1" applyFill="1" applyBorder="1" applyAlignment="1">
      <alignment horizontal="left" vertical="center" wrapText="1"/>
    </xf>
    <xf numFmtId="43" fontId="27" fillId="0" borderId="5" xfId="1" applyFont="1" applyFill="1" applyBorder="1" applyAlignment="1">
      <alignment horizontal="right" vertical="center"/>
    </xf>
    <xf numFmtId="0" fontId="26" fillId="0" borderId="41" xfId="0" applyFont="1" applyBorder="1" applyAlignment="1" applyProtection="1">
      <alignment horizontal="center" vertical="center"/>
      <protection locked="0"/>
    </xf>
    <xf numFmtId="0" fontId="23" fillId="4" borderId="41" xfId="0" applyFont="1" applyFill="1" applyBorder="1" applyAlignment="1">
      <alignment horizontal="center" vertical="center"/>
    </xf>
    <xf numFmtId="43" fontId="23" fillId="4" borderId="37" xfId="1" applyFont="1" applyFill="1" applyBorder="1" applyAlignment="1">
      <alignment horizontal="center" vertical="center"/>
    </xf>
    <xf numFmtId="43" fontId="23" fillId="4" borderId="1" xfId="1" applyFont="1" applyFill="1" applyBorder="1" applyAlignment="1">
      <alignment horizontal="center" vertical="center"/>
    </xf>
    <xf numFmtId="43" fontId="17" fillId="0" borderId="41" xfId="1" applyFont="1" applyFill="1" applyBorder="1" applyAlignment="1">
      <alignment horizontal="right" vertical="center"/>
    </xf>
    <xf numFmtId="43" fontId="17" fillId="0" borderId="5" xfId="1" applyFont="1" applyFill="1" applyBorder="1" applyAlignment="1">
      <alignment horizontal="right" vertical="center"/>
    </xf>
    <xf numFmtId="43" fontId="17" fillId="0" borderId="37" xfId="1" applyFont="1" applyFill="1" applyBorder="1" applyAlignment="1">
      <alignment horizontal="right" vertical="center"/>
    </xf>
    <xf numFmtId="43" fontId="17" fillId="0" borderId="36" xfId="1" applyFont="1" applyFill="1" applyBorder="1" applyAlignment="1">
      <alignment horizontal="right" vertical="center"/>
    </xf>
    <xf numFmtId="43" fontId="17" fillId="6" borderId="37" xfId="1" applyFont="1" applyFill="1" applyBorder="1" applyAlignment="1">
      <alignment horizontal="right" vertical="center"/>
    </xf>
    <xf numFmtId="43" fontId="17" fillId="6" borderId="36" xfId="1" applyFont="1" applyFill="1" applyBorder="1" applyAlignment="1">
      <alignment horizontal="right" vertical="center"/>
    </xf>
    <xf numFmtId="43" fontId="17" fillId="0" borderId="4" xfId="1" applyFont="1" applyFill="1" applyBorder="1" applyAlignment="1">
      <alignment horizontal="right" vertical="center"/>
    </xf>
    <xf numFmtId="43" fontId="17" fillId="0" borderId="1" xfId="1" applyFont="1" applyFill="1" applyBorder="1" applyAlignment="1">
      <alignment horizontal="right" vertical="center"/>
    </xf>
    <xf numFmtId="43" fontId="27" fillId="0" borderId="37" xfId="1" applyFont="1" applyFill="1" applyBorder="1" applyAlignment="1">
      <alignment horizontal="right" vertical="center"/>
    </xf>
    <xf numFmtId="43" fontId="27" fillId="0" borderId="1" xfId="1" applyFont="1" applyFill="1" applyBorder="1" applyAlignment="1">
      <alignment horizontal="right" vertical="center"/>
    </xf>
    <xf numFmtId="43" fontId="27" fillId="0" borderId="37" xfId="1" applyFont="1" applyBorder="1" applyAlignment="1">
      <alignment horizontal="center" vertical="center"/>
    </xf>
    <xf numFmtId="43" fontId="27" fillId="9" borderId="36" xfId="1" applyFont="1" applyFill="1" applyBorder="1" applyAlignment="1">
      <alignment horizontal="right" vertical="center"/>
    </xf>
    <xf numFmtId="43" fontId="17" fillId="9" borderId="41" xfId="1" applyFont="1" applyFill="1" applyBorder="1" applyAlignment="1">
      <alignment horizontal="right" vertical="center"/>
    </xf>
    <xf numFmtId="43" fontId="17" fillId="9" borderId="4" xfId="1" applyFont="1" applyFill="1" applyBorder="1" applyAlignment="1">
      <alignment horizontal="right" vertical="center"/>
    </xf>
    <xf numFmtId="43" fontId="17" fillId="9" borderId="1" xfId="1" applyFont="1" applyFill="1" applyBorder="1" applyAlignment="1">
      <alignment horizontal="right" vertical="center"/>
    </xf>
    <xf numFmtId="0" fontId="23" fillId="0" borderId="1" xfId="0" applyFont="1" applyBorder="1" applyAlignment="1">
      <alignment horizontal="left" vertical="center" wrapText="1"/>
    </xf>
    <xf numFmtId="43" fontId="17" fillId="0" borderId="1" xfId="1" applyFont="1" applyFill="1" applyBorder="1" applyAlignment="1">
      <alignment horizontal="center" vertical="center"/>
    </xf>
    <xf numFmtId="43" fontId="17" fillId="0" borderId="1" xfId="1" applyFont="1" applyFill="1" applyBorder="1" applyAlignment="1" applyProtection="1">
      <alignment horizontal="right" vertical="center" wrapText="1"/>
      <protection locked="0"/>
    </xf>
    <xf numFmtId="43" fontId="17" fillId="0" borderId="37" xfId="1" applyFont="1" applyBorder="1" applyAlignment="1">
      <alignment horizontal="center" vertical="center"/>
    </xf>
    <xf numFmtId="43" fontId="23" fillId="6" borderId="4" xfId="1" applyFont="1" applyFill="1" applyBorder="1" applyAlignment="1">
      <alignment horizontal="right" vertical="center"/>
    </xf>
    <xf numFmtId="43" fontId="23" fillId="6" borderId="1" xfId="1" applyFont="1" applyFill="1" applyBorder="1" applyAlignment="1">
      <alignment horizontal="right" vertical="center"/>
    </xf>
    <xf numFmtId="43" fontId="27" fillId="0" borderId="41" xfId="1" applyFont="1" applyFill="1" applyBorder="1" applyAlignment="1">
      <alignment horizontal="right" vertical="center"/>
    </xf>
    <xf numFmtId="0" fontId="17" fillId="4" borderId="41" xfId="0" applyFont="1" applyFill="1" applyBorder="1" applyAlignment="1">
      <alignment horizontal="center" vertical="center"/>
    </xf>
    <xf numFmtId="43" fontId="17" fillId="4" borderId="37" xfId="1" applyFont="1" applyFill="1" applyBorder="1" applyAlignment="1">
      <alignment horizontal="center" vertical="center"/>
    </xf>
    <xf numFmtId="43" fontId="17" fillId="4" borderId="1" xfId="1" applyFont="1" applyFill="1" applyBorder="1" applyAlignment="1">
      <alignment horizontal="center" vertical="center"/>
    </xf>
    <xf numFmtId="0" fontId="17" fillId="0" borderId="0" xfId="0" applyFont="1" applyAlignment="1" applyProtection="1">
      <alignment vertical="center"/>
      <protection locked="0"/>
    </xf>
    <xf numFmtId="0" fontId="16" fillId="10" borderId="41" xfId="0" applyFont="1" applyFill="1" applyBorder="1" applyAlignment="1" applyProtection="1">
      <alignment horizontal="center" vertical="center"/>
      <protection locked="0"/>
    </xf>
    <xf numFmtId="0" fontId="16" fillId="10" borderId="1" xfId="5" applyFont="1" applyFill="1" applyBorder="1" applyAlignment="1">
      <alignment horizontal="right" vertical="center" wrapText="1"/>
    </xf>
    <xf numFmtId="0" fontId="17" fillId="10" borderId="41" xfId="5" applyFont="1" applyFill="1" applyBorder="1" applyAlignment="1">
      <alignment horizontal="center" vertical="center"/>
    </xf>
    <xf numFmtId="43" fontId="17" fillId="10" borderId="37" xfId="1" applyFont="1" applyFill="1" applyBorder="1" applyAlignment="1">
      <alignment horizontal="center" vertical="center"/>
    </xf>
    <xf numFmtId="43" fontId="17" fillId="10" borderId="1" xfId="1" applyFont="1" applyFill="1" applyBorder="1" applyAlignment="1">
      <alignment horizontal="center" vertical="center"/>
    </xf>
    <xf numFmtId="43" fontId="22" fillId="10" borderId="1" xfId="1" applyFont="1" applyFill="1" applyBorder="1" applyAlignment="1" applyProtection="1">
      <alignment horizontal="right" vertical="center" wrapText="1"/>
      <protection locked="0"/>
    </xf>
    <xf numFmtId="43" fontId="22" fillId="10" borderId="41" xfId="1" applyFont="1" applyFill="1" applyBorder="1" applyAlignment="1">
      <alignment horizontal="right" vertical="center"/>
    </xf>
    <xf numFmtId="43" fontId="22" fillId="10" borderId="5" xfId="1" applyFont="1" applyFill="1" applyBorder="1" applyAlignment="1">
      <alignment horizontal="right" vertical="center"/>
    </xf>
    <xf numFmtId="43" fontId="22" fillId="10" borderId="37" xfId="1" applyFont="1" applyFill="1" applyBorder="1" applyAlignment="1" applyProtection="1">
      <alignment horizontal="right" vertical="center"/>
      <protection locked="0"/>
    </xf>
    <xf numFmtId="43" fontId="22" fillId="10" borderId="36" xfId="1" applyFont="1" applyFill="1" applyBorder="1" applyAlignment="1" applyProtection="1">
      <alignment horizontal="right" vertical="center"/>
      <protection locked="0"/>
    </xf>
    <xf numFmtId="43" fontId="22" fillId="10" borderId="1" xfId="1" applyFont="1" applyFill="1" applyBorder="1" applyAlignment="1" applyProtection="1">
      <alignment horizontal="right" vertical="center"/>
      <protection locked="0"/>
    </xf>
    <xf numFmtId="43" fontId="22" fillId="10" borderId="4" xfId="1" applyFont="1" applyFill="1" applyBorder="1" applyAlignment="1">
      <alignment horizontal="right" vertical="center"/>
    </xf>
    <xf numFmtId="43" fontId="22" fillId="10" borderId="5" xfId="1" applyFont="1" applyFill="1" applyBorder="1" applyAlignment="1" applyProtection="1">
      <alignment horizontal="right" vertical="center"/>
      <protection locked="0"/>
    </xf>
    <xf numFmtId="43" fontId="22" fillId="10" borderId="37" xfId="1" applyFont="1" applyFill="1" applyBorder="1" applyAlignment="1">
      <alignment horizontal="right" vertical="center"/>
    </xf>
    <xf numFmtId="0" fontId="17" fillId="0" borderId="41" xfId="0" applyFont="1" applyBorder="1" applyAlignment="1" applyProtection="1">
      <alignment horizontal="center" vertical="center"/>
      <protection locked="0"/>
    </xf>
    <xf numFmtId="0" fontId="23" fillId="0" borderId="1" xfId="0" applyFont="1" applyBorder="1" applyAlignment="1" applyProtection="1">
      <alignment vertical="center" wrapText="1" shrinkToFit="1"/>
      <protection locked="0"/>
    </xf>
    <xf numFmtId="0" fontId="22" fillId="0" borderId="41" xfId="0" applyFont="1" applyBorder="1" applyAlignment="1" applyProtection="1">
      <alignment horizontal="center" vertical="center"/>
      <protection locked="0"/>
    </xf>
    <xf numFmtId="0" fontId="22" fillId="0" borderId="37" xfId="0" applyFont="1" applyBorder="1" applyAlignment="1" applyProtection="1">
      <alignment horizontal="center" vertical="center"/>
      <protection locked="0"/>
    </xf>
    <xf numFmtId="0" fontId="22" fillId="0" borderId="1" xfId="0" applyFont="1" applyBorder="1" applyAlignment="1" applyProtection="1">
      <alignment horizontal="center" vertical="center"/>
      <protection locked="0"/>
    </xf>
    <xf numFmtId="0" fontId="23" fillId="0" borderId="41" xfId="0" applyFont="1" applyBorder="1" applyAlignment="1" applyProtection="1">
      <alignment vertical="center"/>
      <protection locked="0"/>
    </xf>
    <xf numFmtId="0" fontId="23" fillId="0" borderId="5" xfId="0" applyFont="1" applyBorder="1" applyAlignment="1" applyProtection="1">
      <alignment vertical="center"/>
      <protection locked="0"/>
    </xf>
    <xf numFmtId="9" fontId="22" fillId="0" borderId="37" xfId="2" applyFont="1" applyFill="1" applyBorder="1" applyAlignment="1">
      <alignment horizontal="center" vertical="center"/>
    </xf>
    <xf numFmtId="9" fontId="22" fillId="0" borderId="36" xfId="2" applyFont="1" applyFill="1" applyBorder="1" applyAlignment="1">
      <alignment horizontal="center" vertical="center"/>
    </xf>
    <xf numFmtId="9" fontId="22" fillId="6" borderId="37" xfId="2" applyFont="1" applyFill="1" applyBorder="1" applyAlignment="1">
      <alignment horizontal="center" vertical="center"/>
    </xf>
    <xf numFmtId="9" fontId="22" fillId="6" borderId="36" xfId="2" applyFont="1" applyFill="1" applyBorder="1" applyAlignment="1">
      <alignment horizontal="center" vertical="center"/>
    </xf>
    <xf numFmtId="9" fontId="22" fillId="0" borderId="1" xfId="2" applyFont="1" applyFill="1" applyBorder="1" applyAlignment="1">
      <alignment horizontal="center" vertical="center"/>
    </xf>
    <xf numFmtId="0" fontId="23" fillId="6" borderId="5" xfId="0" applyFont="1" applyFill="1" applyBorder="1" applyAlignment="1" applyProtection="1">
      <alignment vertical="center"/>
      <protection locked="0"/>
    </xf>
    <xf numFmtId="0" fontId="23" fillId="0" borderId="4" xfId="0" applyFont="1" applyBorder="1" applyAlignment="1" applyProtection="1">
      <alignment vertical="center"/>
      <protection locked="0"/>
    </xf>
    <xf numFmtId="9" fontId="22" fillId="0" borderId="5" xfId="2" applyFont="1" applyFill="1" applyBorder="1" applyAlignment="1">
      <alignment horizontal="center" vertical="center"/>
    </xf>
    <xf numFmtId="0" fontId="23" fillId="0" borderId="37" xfId="0" applyFont="1" applyBorder="1" applyAlignment="1" applyProtection="1">
      <alignment vertical="center"/>
      <protection locked="0"/>
    </xf>
    <xf numFmtId="0" fontId="23" fillId="6" borderId="37" xfId="0" applyFont="1" applyFill="1" applyBorder="1" applyAlignment="1" applyProtection="1">
      <alignment vertical="center"/>
      <protection locked="0"/>
    </xf>
    <xf numFmtId="0" fontId="23" fillId="0" borderId="1" xfId="0" applyFont="1" applyBorder="1" applyAlignment="1" applyProtection="1">
      <alignment vertical="center" wrapText="1"/>
      <protection locked="0"/>
    </xf>
    <xf numFmtId="0" fontId="22" fillId="0" borderId="41" xfId="0" applyFont="1" applyBorder="1" applyAlignment="1" applyProtection="1">
      <alignment horizontal="center" vertical="center" wrapText="1"/>
      <protection locked="0"/>
    </xf>
    <xf numFmtId="0" fontId="22" fillId="0" borderId="5" xfId="0" applyFont="1" applyBorder="1" applyAlignment="1" applyProtection="1">
      <alignment horizontal="center" vertical="center" wrapText="1"/>
      <protection locked="0"/>
    </xf>
    <xf numFmtId="0" fontId="22" fillId="0" borderId="37" xfId="0" applyFont="1" applyBorder="1" applyAlignment="1" applyProtection="1">
      <alignment horizontal="center" vertical="center" wrapText="1"/>
      <protection locked="0"/>
    </xf>
    <xf numFmtId="0" fontId="22" fillId="0" borderId="36" xfId="0" applyFont="1" applyBorder="1" applyAlignment="1" applyProtection="1">
      <alignment horizontal="center" vertical="center" wrapText="1"/>
      <protection locked="0"/>
    </xf>
    <xf numFmtId="0" fontId="22" fillId="0" borderId="1" xfId="0" applyFont="1" applyBorder="1" applyAlignment="1" applyProtection="1">
      <alignment horizontal="center" vertical="center" wrapText="1"/>
      <protection locked="0"/>
    </xf>
    <xf numFmtId="0" fontId="23" fillId="0" borderId="41" xfId="0" applyFont="1" applyBorder="1" applyAlignment="1" applyProtection="1">
      <alignment horizontal="center" vertical="center" wrapText="1"/>
      <protection locked="0"/>
    </xf>
    <xf numFmtId="0" fontId="23" fillId="0" borderId="37" xfId="0" applyFont="1" applyBorder="1" applyAlignment="1" applyProtection="1">
      <alignment horizontal="center" vertical="center" wrapText="1"/>
      <protection locked="0"/>
    </xf>
    <xf numFmtId="0" fontId="23" fillId="0" borderId="1" xfId="0" applyFont="1" applyBorder="1" applyAlignment="1" applyProtection="1">
      <alignment horizontal="center" vertical="center" wrapText="1"/>
      <protection locked="0"/>
    </xf>
    <xf numFmtId="0" fontId="22" fillId="0" borderId="5" xfId="0" applyFont="1" applyBorder="1" applyAlignment="1" applyProtection="1">
      <alignment horizontal="center" vertical="center"/>
      <protection locked="0"/>
    </xf>
    <xf numFmtId="0" fontId="22" fillId="0" borderId="36" xfId="0" applyFont="1" applyBorder="1" applyAlignment="1" applyProtection="1">
      <alignment horizontal="center" vertical="center"/>
      <protection locked="0"/>
    </xf>
    <xf numFmtId="9" fontId="22" fillId="0" borderId="41" xfId="2" applyFont="1" applyFill="1" applyBorder="1" applyAlignment="1" applyProtection="1">
      <alignment horizontal="center" vertical="center"/>
      <protection locked="0"/>
    </xf>
    <xf numFmtId="9" fontId="22" fillId="0" borderId="37" xfId="2" applyFont="1" applyFill="1" applyBorder="1" applyAlignment="1" applyProtection="1">
      <alignment horizontal="center" vertical="center"/>
      <protection locked="0"/>
    </xf>
    <xf numFmtId="9" fontId="22" fillId="0" borderId="1" xfId="2" applyFont="1" applyFill="1" applyBorder="1" applyAlignment="1" applyProtection="1">
      <alignment horizontal="center" vertical="center"/>
      <protection locked="0"/>
    </xf>
    <xf numFmtId="9" fontId="22" fillId="0" borderId="36" xfId="2" applyFont="1" applyFill="1" applyBorder="1" applyAlignment="1" applyProtection="1">
      <alignment horizontal="center" vertical="center"/>
      <protection locked="0"/>
    </xf>
    <xf numFmtId="0" fontId="23" fillId="0" borderId="5" xfId="0" applyFont="1" applyBorder="1" applyAlignment="1" applyProtection="1">
      <alignment horizontal="center" vertical="center" wrapText="1"/>
      <protection locked="0"/>
    </xf>
    <xf numFmtId="0" fontId="23" fillId="0" borderId="36" xfId="0" applyFont="1" applyBorder="1" applyAlignment="1" applyProtection="1">
      <alignment horizontal="center" vertical="center" wrapText="1"/>
      <protection locked="0"/>
    </xf>
    <xf numFmtId="0" fontId="23" fillId="0" borderId="85" xfId="0" applyFont="1" applyBorder="1" applyAlignment="1" applyProtection="1">
      <alignment horizontal="center" vertical="center" wrapText="1"/>
      <protection locked="0"/>
    </xf>
    <xf numFmtId="0" fontId="23" fillId="0" borderId="4" xfId="0" applyFont="1" applyBorder="1" applyAlignment="1" applyProtection="1">
      <alignment horizontal="center" vertical="center" wrapText="1"/>
      <protection locked="0"/>
    </xf>
    <xf numFmtId="0" fontId="23" fillId="0" borderId="43" xfId="0" applyFont="1" applyBorder="1" applyAlignment="1" applyProtection="1">
      <alignment horizontal="center" vertical="center" wrapText="1"/>
      <protection locked="0"/>
    </xf>
    <xf numFmtId="0" fontId="23" fillId="0" borderId="41" xfId="0" applyFont="1" applyBorder="1" applyAlignment="1" applyProtection="1">
      <alignment horizontal="center" vertical="center"/>
      <protection locked="0"/>
    </xf>
    <xf numFmtId="0" fontId="23" fillId="0" borderId="37" xfId="0" applyFont="1" applyBorder="1" applyAlignment="1" applyProtection="1">
      <alignment horizontal="center" vertical="center"/>
      <protection locked="0"/>
    </xf>
    <xf numFmtId="0" fontId="23" fillId="0" borderId="1" xfId="0" applyFont="1" applyBorder="1" applyAlignment="1" applyProtection="1">
      <alignment horizontal="center" vertical="center"/>
      <protection locked="0"/>
    </xf>
    <xf numFmtId="0" fontId="23" fillId="0" borderId="36" xfId="0" applyFont="1" applyBorder="1" applyAlignment="1" applyProtection="1">
      <alignment horizontal="center" vertical="center"/>
      <protection locked="0"/>
    </xf>
    <xf numFmtId="0" fontId="22" fillId="0" borderId="1" xfId="0" applyFont="1" applyBorder="1" applyAlignment="1" applyProtection="1">
      <alignment vertical="center" wrapText="1"/>
      <protection locked="0"/>
    </xf>
    <xf numFmtId="0" fontId="23" fillId="0" borderId="41" xfId="0" applyFont="1" applyBorder="1" applyAlignment="1" applyProtection="1">
      <alignment vertical="center"/>
      <protection locked="0"/>
    </xf>
    <xf numFmtId="0" fontId="23" fillId="0" borderId="5" xfId="0" applyFont="1" applyBorder="1" applyAlignment="1" applyProtection="1">
      <alignment vertical="center"/>
      <protection locked="0"/>
    </xf>
    <xf numFmtId="0" fontId="23" fillId="0" borderId="37" xfId="0" applyFont="1" applyBorder="1" applyAlignment="1" applyProtection="1">
      <alignment vertical="center"/>
      <protection locked="0"/>
    </xf>
    <xf numFmtId="0" fontId="23" fillId="0" borderId="1" xfId="0" applyFont="1" applyBorder="1" applyAlignment="1" applyProtection="1">
      <alignment vertical="center"/>
      <protection locked="0"/>
    </xf>
    <xf numFmtId="0" fontId="23" fillId="0" borderId="36" xfId="0" applyFont="1" applyBorder="1" applyAlignment="1" applyProtection="1">
      <alignment vertical="center"/>
      <protection locked="0"/>
    </xf>
    <xf numFmtId="0" fontId="22" fillId="0" borderId="41" xfId="0" applyFont="1" applyBorder="1" applyAlignment="1" applyProtection="1">
      <alignment vertical="center"/>
      <protection locked="0"/>
    </xf>
    <xf numFmtId="0" fontId="22" fillId="0" borderId="37" xfId="0" applyFont="1" applyBorder="1" applyAlignment="1" applyProtection="1">
      <alignment vertical="center"/>
      <protection locked="0"/>
    </xf>
    <xf numFmtId="0" fontId="22" fillId="0" borderId="1" xfId="0" applyFont="1" applyBorder="1" applyAlignment="1" applyProtection="1">
      <alignment vertical="center"/>
      <protection locked="0"/>
    </xf>
    <xf numFmtId="0" fontId="22" fillId="0" borderId="36" xfId="0" applyFont="1" applyBorder="1" applyAlignment="1" applyProtection="1">
      <alignment vertical="center"/>
      <protection locked="0"/>
    </xf>
    <xf numFmtId="0" fontId="23" fillId="0" borderId="35" xfId="0" applyFont="1" applyBorder="1" applyAlignment="1" applyProtection="1">
      <alignment vertical="center" wrapText="1"/>
      <protection locked="0"/>
    </xf>
    <xf numFmtId="9" fontId="22" fillId="0" borderId="41" xfId="0" applyNumberFormat="1" applyFont="1" applyBorder="1" applyAlignment="1" applyProtection="1">
      <alignment horizontal="center" vertical="center" wrapText="1"/>
      <protection locked="0"/>
    </xf>
    <xf numFmtId="9" fontId="22" fillId="0" borderId="5" xfId="0" applyNumberFormat="1" applyFont="1" applyBorder="1" applyAlignment="1" applyProtection="1">
      <alignment horizontal="center" vertical="center" wrapText="1"/>
      <protection locked="0"/>
    </xf>
    <xf numFmtId="0" fontId="16" fillId="0" borderId="33" xfId="0" applyFont="1" applyBorder="1" applyAlignment="1" applyProtection="1">
      <alignment horizontal="center" vertical="center" wrapText="1"/>
      <protection locked="0"/>
    </xf>
    <xf numFmtId="0" fontId="16" fillId="0" borderId="87" xfId="0" applyFont="1" applyBorder="1" applyAlignment="1" applyProtection="1">
      <alignment horizontal="center" vertical="center" wrapText="1"/>
      <protection locked="0"/>
    </xf>
    <xf numFmtId="0" fontId="16" fillId="0" borderId="35" xfId="0" applyFont="1" applyBorder="1" applyAlignment="1" applyProtection="1">
      <alignment horizontal="center" vertical="center" wrapText="1"/>
      <protection locked="0"/>
    </xf>
    <xf numFmtId="0" fontId="22" fillId="0" borderId="85" xfId="0" applyFont="1" applyBorder="1" applyAlignment="1" applyProtection="1">
      <alignment horizontal="center" vertical="center" wrapText="1"/>
      <protection locked="0"/>
    </xf>
    <xf numFmtId="0" fontId="22" fillId="0" borderId="4" xfId="0" applyFont="1" applyBorder="1" applyAlignment="1" applyProtection="1">
      <alignment horizontal="center" vertical="center" wrapText="1"/>
      <protection locked="0"/>
    </xf>
    <xf numFmtId="0" fontId="22" fillId="0" borderId="43" xfId="0" applyFont="1" applyBorder="1" applyAlignment="1" applyProtection="1">
      <alignment horizontal="center" vertical="center" wrapText="1"/>
      <protection locked="0"/>
    </xf>
    <xf numFmtId="0" fontId="22" fillId="0" borderId="85" xfId="0" applyFont="1" applyBorder="1" applyAlignment="1" applyProtection="1">
      <alignment horizontal="center" vertical="center"/>
      <protection locked="0"/>
    </xf>
    <xf numFmtId="0" fontId="22" fillId="0" borderId="4" xfId="0" applyFont="1" applyBorder="1" applyAlignment="1" applyProtection="1">
      <alignment horizontal="center" vertical="center"/>
      <protection locked="0"/>
    </xf>
    <xf numFmtId="0" fontId="22" fillId="0" borderId="43" xfId="0" applyFont="1" applyBorder="1" applyAlignment="1" applyProtection="1">
      <alignment horizontal="center" vertical="center"/>
      <protection locked="0"/>
    </xf>
    <xf numFmtId="0" fontId="16" fillId="0" borderId="41" xfId="0" applyFont="1"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0" fontId="16" fillId="0" borderId="37" xfId="0" applyFont="1" applyBorder="1" applyAlignment="1" applyProtection="1">
      <alignment horizontal="center" vertical="center"/>
      <protection locked="0"/>
    </xf>
    <xf numFmtId="0" fontId="16" fillId="0" borderId="36" xfId="0" applyFont="1" applyBorder="1" applyAlignment="1" applyProtection="1">
      <alignment horizontal="center" vertical="center"/>
      <protection locked="0"/>
    </xf>
    <xf numFmtId="0" fontId="26" fillId="0" borderId="5" xfId="0" applyFont="1" applyBorder="1" applyAlignment="1" applyProtection="1">
      <alignment horizontal="center" vertical="center"/>
      <protection locked="0"/>
    </xf>
    <xf numFmtId="0" fontId="26" fillId="0" borderId="37" xfId="0" applyFont="1" applyBorder="1" applyAlignment="1" applyProtection="1">
      <alignment horizontal="center" vertical="center"/>
      <protection locked="0"/>
    </xf>
    <xf numFmtId="0" fontId="26" fillId="0" borderId="36" xfId="0" applyFont="1" applyBorder="1" applyAlignment="1" applyProtection="1">
      <alignment horizontal="center" vertical="center"/>
      <protection locked="0"/>
    </xf>
    <xf numFmtId="0" fontId="26" fillId="0" borderId="41" xfId="0" applyFont="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22" fillId="0" borderId="41" xfId="0" applyFont="1" applyBorder="1" applyAlignment="1" applyProtection="1">
      <alignment vertical="center"/>
      <protection locked="0"/>
    </xf>
    <xf numFmtId="0" fontId="22" fillId="0" borderId="37" xfId="0" applyFont="1" applyBorder="1" applyAlignment="1" applyProtection="1">
      <alignment vertical="center"/>
      <protection locked="0"/>
    </xf>
    <xf numFmtId="0" fontId="26" fillId="0" borderId="43" xfId="0" applyFont="1" applyBorder="1" applyAlignment="1" applyProtection="1">
      <alignment horizontal="center" vertical="center"/>
      <protection locked="0"/>
    </xf>
    <xf numFmtId="0" fontId="26" fillId="0" borderId="85" xfId="0" applyFont="1" applyBorder="1" applyAlignment="1" applyProtection="1">
      <alignment horizontal="center" vertical="center"/>
      <protection locked="0"/>
    </xf>
    <xf numFmtId="0" fontId="26" fillId="0" borderId="4" xfId="0" applyFont="1" applyBorder="1" applyAlignment="1" applyProtection="1">
      <alignment horizontal="center" vertical="center"/>
      <protection locked="0"/>
    </xf>
    <xf numFmtId="0" fontId="17" fillId="0" borderId="26" xfId="0" applyFont="1" applyBorder="1" applyAlignment="1" applyProtection="1">
      <alignment horizontal="center" vertical="center"/>
      <protection locked="0"/>
    </xf>
    <xf numFmtId="0" fontId="23" fillId="0" borderId="46" xfId="0" applyFont="1" applyBorder="1" applyAlignment="1" applyProtection="1">
      <alignment vertical="center" wrapText="1"/>
      <protection locked="0"/>
    </xf>
    <xf numFmtId="0" fontId="22" fillId="0" borderId="69" xfId="0" applyFont="1" applyBorder="1" applyAlignment="1" applyProtection="1">
      <alignment horizontal="center" vertical="center" wrapText="1"/>
      <protection locked="0"/>
    </xf>
    <xf numFmtId="0" fontId="22" fillId="0" borderId="70" xfId="0" applyFont="1" applyBorder="1" applyAlignment="1" applyProtection="1">
      <alignment horizontal="center" vertical="center" wrapText="1"/>
      <protection locked="0"/>
    </xf>
    <xf numFmtId="0" fontId="22" fillId="0" borderId="70" xfId="0" applyFont="1" applyBorder="1" applyAlignment="1" applyProtection="1">
      <alignment vertical="center" wrapText="1"/>
      <protection locked="0"/>
    </xf>
    <xf numFmtId="0" fontId="22" fillId="0" borderId="51" xfId="0" applyFont="1" applyBorder="1" applyAlignment="1" applyProtection="1">
      <alignment horizontal="center" vertical="center" wrapText="1"/>
      <protection locked="0"/>
    </xf>
    <xf numFmtId="0" fontId="16" fillId="0" borderId="88" xfId="0" applyFont="1" applyBorder="1" applyAlignment="1" applyProtection="1">
      <alignment horizontal="center" vertical="center"/>
      <protection locked="0"/>
    </xf>
    <xf numFmtId="0" fontId="16" fillId="0" borderId="89" xfId="0" applyFont="1" applyBorder="1" applyAlignment="1" applyProtection="1">
      <alignment horizontal="center" vertical="center"/>
      <protection locked="0"/>
    </xf>
    <xf numFmtId="0" fontId="16" fillId="0" borderId="90" xfId="0" applyFont="1" applyBorder="1" applyAlignment="1" applyProtection="1">
      <alignment horizontal="center" vertical="center"/>
      <protection locked="0"/>
    </xf>
    <xf numFmtId="0" fontId="28" fillId="0" borderId="0" xfId="0" applyFont="1" applyAlignment="1">
      <alignment vertical="center"/>
    </xf>
    <xf numFmtId="43" fontId="18" fillId="0" borderId="0" xfId="0" applyNumberFormat="1" applyFont="1" applyAlignment="1" applyProtection="1">
      <alignment vertical="center"/>
      <protection locked="0"/>
    </xf>
  </cellXfs>
  <cellStyles count="6">
    <cellStyle name="Comma" xfId="1" builtinId="3"/>
    <cellStyle name="Comma 2" xfId="4" xr:uid="{7CEBD779-29ED-48A3-ADE9-AE351E913D1C}"/>
    <cellStyle name="Normal" xfId="0" builtinId="0"/>
    <cellStyle name="Normal 2 2" xfId="3" xr:uid="{67CF3BDA-7E7F-4583-90A8-53CF1E90BBA2}"/>
    <cellStyle name="Normal_Bill No. 7 - Thermal Moisture" xfId="5" xr:uid="{00C07723-4052-44D2-9CE8-220819A7896D}"/>
    <cellStyle name="Percent" xfId="2" builtinId="5"/>
  </cellStyles>
  <dxfs count="2">
    <dxf>
      <font>
        <color rgb="FFFF000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Final Offer Comparison vs Budget Allowance</a:t>
            </a:r>
          </a:p>
        </c:rich>
      </c:tx>
      <c:overlay val="1"/>
    </c:title>
    <c:autoTitleDeleted val="0"/>
    <c:plotArea>
      <c:layout>
        <c:manualLayout>
          <c:layoutTarget val="inner"/>
          <c:xMode val="edge"/>
          <c:yMode val="edge"/>
          <c:x val="4.1719872409461074E-2"/>
          <c:y val="0.12826513083730978"/>
          <c:w val="0.95397279714146133"/>
          <c:h val="0.82098945299187176"/>
        </c:manualLayout>
      </c:layout>
      <c:barChart>
        <c:barDir val="bar"/>
        <c:grouping val="clustered"/>
        <c:varyColors val="1"/>
        <c:ser>
          <c:idx val="0"/>
          <c:order val="0"/>
          <c:tx>
            <c:strRef>
              <c:f>'Summary '!$C$8:$C$9</c:f>
              <c:strCache>
                <c:ptCount val="2"/>
                <c:pt idx="0">
                  <c:v>Vendor Name</c:v>
                </c:pt>
              </c:strCache>
            </c:strRef>
          </c:tx>
          <c:spPr>
            <a:ln>
              <a:solidFill>
                <a:sysClr val="windowText" lastClr="000000"/>
              </a:solidFill>
            </a:ln>
          </c:spPr>
          <c:invertIfNegative val="1"/>
          <c:dLbls>
            <c:spPr>
              <a:noFill/>
              <a:ln>
                <a:noFill/>
              </a:ln>
              <a:effectLst/>
            </c:spPr>
            <c:txPr>
              <a:bodyPr wrap="square" lIns="38100" tIns="19050" rIns="38100" bIns="19050" anchor="ctr">
                <a:spAutoFit/>
              </a:bodyPr>
              <a:lstStyle/>
              <a:p>
                <a:pPr>
                  <a:defRPr sz="1400" baseline="0">
                    <a:solidFill>
                      <a:schemeClr val="bg1"/>
                    </a:solidFill>
                  </a:defRPr>
                </a:pPr>
                <a:endParaRPr lang="en-US"/>
              </a:p>
            </c:txPr>
            <c:dLblPos val="ctr"/>
            <c:showLegendKey val="0"/>
            <c:showVal val="1"/>
            <c:showCatName val="1"/>
            <c:showSerName val="0"/>
            <c:showPercent val="1"/>
            <c:showBubbleSize val="1"/>
            <c:showLeaderLines val="0"/>
            <c:extLst>
              <c:ext xmlns:c15="http://schemas.microsoft.com/office/drawing/2012/chart" uri="{CE6537A1-D6FC-4f65-9D91-7224C49458BB}">
                <c15:showLeaderLines val="0"/>
              </c:ext>
            </c:extLst>
          </c:dLbls>
          <c:cat>
            <c:strRef>
              <c:f>'Summary '!$C$10:$C$17</c:f>
              <c:strCache>
                <c:ptCount val="4"/>
                <c:pt idx="0">
                  <c:v>Green dunes</c:v>
                </c:pt>
                <c:pt idx="1">
                  <c:v>Premier Irrigation &amp; Landscaping L.L.C</c:v>
                </c:pt>
                <c:pt idx="2">
                  <c:v>Planta Lanndscaping &amp; Irrigation L.L.C</c:v>
                </c:pt>
                <c:pt idx="3">
                  <c:v>KTC INTERNATIONAL LANDSCAPING LLC</c:v>
                </c:pt>
              </c:strCache>
            </c:strRef>
          </c:cat>
          <c:val>
            <c:numRef>
              <c:f>'Summary '!$I$10:$I$17</c:f>
              <c:numCache>
                <c:formatCode>_(* #,##0.00_);_(* \(#,##0.00\);_(* "-"??_);_(@_)</c:formatCode>
                <c:ptCount val="4"/>
                <c:pt idx="0">
                  <c:v>2272085.5999999996</c:v>
                </c:pt>
                <c:pt idx="1">
                  <c:v>2379630.2999999998</c:v>
                </c:pt>
                <c:pt idx="2" formatCode="#,##0.00">
                  <c:v>2816733</c:v>
                </c:pt>
                <c:pt idx="3">
                  <c:v>3866696</c:v>
                </c:pt>
              </c:numCache>
            </c:numRef>
          </c:val>
          <c:extLst>
            <c:ext xmlns:c16="http://schemas.microsoft.com/office/drawing/2014/chart" uri="{C3380CC4-5D6E-409C-BE32-E72D297353CC}">
              <c16:uniqueId val="{00000000-18F4-421B-B350-836CD09AABCF}"/>
            </c:ext>
          </c:extLst>
        </c:ser>
        <c:ser>
          <c:idx val="1"/>
          <c:order val="1"/>
          <c:tx>
            <c:strRef>
              <c:f>'Summary '!$D$25</c:f>
              <c:strCache>
                <c:ptCount val="1"/>
                <c:pt idx="0">
                  <c:v>Budget</c:v>
                </c:pt>
              </c:strCache>
            </c:strRef>
          </c:tx>
          <c:spPr>
            <a:solidFill>
              <a:srgbClr val="A9D18E"/>
            </a:solidFill>
            <a:ln>
              <a:solidFill>
                <a:sysClr val="windowText" lastClr="000000"/>
              </a:solidFill>
            </a:ln>
          </c:spPr>
          <c:invertIfNegative val="1"/>
          <c:dLbls>
            <c:dLbl>
              <c:idx val="0"/>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F4-421B-B350-836CD09AABCF}"/>
                </c:ext>
              </c:extLst>
            </c:dLbl>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F4-421B-B350-836CD09AABCF}"/>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F4-421B-B350-836CD09AABCF}"/>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F4-421B-B350-836CD09AABCF}"/>
                </c:ext>
              </c:extLst>
            </c:dLbl>
            <c:spPr>
              <a:noFill/>
              <a:ln>
                <a:noFill/>
              </a:ln>
              <a:effectLst/>
            </c:spPr>
            <c:txPr>
              <a:bodyPr wrap="square" lIns="38100" tIns="19050" rIns="38100" bIns="19050" anchor="ctr">
                <a:spAutoFit/>
              </a:bodyPr>
              <a:lstStyle/>
              <a:p>
                <a:pPr>
                  <a:defRPr sz="1400" baseline="0">
                    <a:ln>
                      <a:noFill/>
                    </a:ln>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ext>
            </c:extLst>
          </c:dLbls>
          <c:trendline>
            <c:trendlineType val="linear"/>
            <c:dispRSqr val="0"/>
            <c:dispEq val="0"/>
          </c:trendline>
          <c:cat>
            <c:strRef>
              <c:f>'Summary '!$C$10:$C$17</c:f>
              <c:strCache>
                <c:ptCount val="4"/>
                <c:pt idx="0">
                  <c:v>Green dunes</c:v>
                </c:pt>
                <c:pt idx="1">
                  <c:v>Premier Irrigation &amp; Landscaping L.L.C</c:v>
                </c:pt>
                <c:pt idx="2">
                  <c:v>Planta Lanndscaping &amp; Irrigation L.L.C</c:v>
                </c:pt>
                <c:pt idx="3">
                  <c:v>KTC INTERNATIONAL LANDSCAPING LLC</c:v>
                </c:pt>
              </c:strCache>
            </c:strRef>
          </c:cat>
          <c:val>
            <c:numRef>
              <c:f>'Summary '!$S$10:$S$17</c:f>
              <c:numCache>
                <c:formatCode>_(* #,##0.00_);_(* \(#,##0.00\);_(* "-"??_);_(@_)</c:formatCode>
                <c:ptCount val="4"/>
                <c:pt idx="0">
                  <c:v>2189273.1440000003</c:v>
                </c:pt>
                <c:pt idx="1">
                  <c:v>2189273.1440000003</c:v>
                </c:pt>
                <c:pt idx="2">
                  <c:v>2189273.1440000003</c:v>
                </c:pt>
                <c:pt idx="3">
                  <c:v>2189273.1440000003</c:v>
                </c:pt>
              </c:numCache>
            </c:numRef>
          </c:val>
          <c:extLst>
            <c:ext xmlns:c14="http://schemas.microsoft.com/office/drawing/2007/8/2/chart" uri="{6F2FDCE9-48DA-4B69-8628-5D25D57E5C99}">
              <c14:invertSolidFillFmt>
                <c14:spPr xmlns:c14="http://schemas.microsoft.com/office/drawing/2007/8/2/chart">
                  <a:solidFill>
                    <a:srgbClr val="FFFFFF"/>
                  </a:solidFill>
                  <a:ln>
                    <a:solidFill>
                      <a:sysClr val="windowText" lastClr="000000"/>
                    </a:solidFill>
                  </a:ln>
                </c14:spPr>
              </c14:invertSolidFillFmt>
            </c:ext>
            <c:ext xmlns:c16="http://schemas.microsoft.com/office/drawing/2014/chart" uri="{C3380CC4-5D6E-409C-BE32-E72D297353CC}">
              <c16:uniqueId val="{00000006-18F4-421B-B350-836CD09AABCF}"/>
            </c:ext>
          </c:extLst>
        </c:ser>
        <c:dLbls>
          <c:showLegendKey val="0"/>
          <c:showVal val="0"/>
          <c:showCatName val="0"/>
          <c:showSerName val="0"/>
          <c:showPercent val="0"/>
          <c:showBubbleSize val="0"/>
        </c:dLbls>
        <c:gapWidth val="150"/>
        <c:axId val="10"/>
        <c:axId val="100"/>
      </c:barChart>
      <c:catAx>
        <c:axId val="10"/>
        <c:scaling>
          <c:orientation val="maxMin"/>
        </c:scaling>
        <c:delete val="1"/>
        <c:axPos val="l"/>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1"/>
        <c:axPos val="t"/>
        <c:majorGridlines>
          <c:spPr>
            <a:ln>
              <a:noFill/>
            </a:ln>
          </c:spPr>
        </c:majorGridlines>
        <c:numFmt formatCode="_(* #,##0.00_);_(* \(#,##0.00\);_(* &quot;-&quot;??_);_(@_)" sourceLinked="1"/>
        <c:majorTickMark val="out"/>
        <c:minorTickMark val="none"/>
        <c:tickLblPos val="nextTo"/>
        <c:crossAx val="10"/>
        <c:crosses val="autoZero"/>
        <c:crossBetween val="between"/>
      </c:valAx>
      <c:spPr>
        <a:noFill/>
        <a:ln>
          <a:solidFill>
            <a:schemeClr val="tx1"/>
          </a:solidFill>
        </a:ln>
      </c:spPr>
    </c:plotArea>
    <c:legend>
      <c:legendPos val="t"/>
      <c:layout>
        <c:manualLayout>
          <c:xMode val="edge"/>
          <c:yMode val="edge"/>
          <c:x val="5.4634918266123988E-2"/>
          <c:y val="1.0916181347856152E-2"/>
          <c:w val="0.22321211105839422"/>
          <c:h val="8.2097634497883598E-2"/>
        </c:manualLayout>
      </c:layout>
      <c:overlay val="1"/>
      <c:txPr>
        <a:bodyPr/>
        <a:lstStyle/>
        <a:p>
          <a:pPr>
            <a:defRPr sz="1200" baseline="0">
              <a:ln>
                <a:noFill/>
              </a:ln>
            </a:defRPr>
          </a:pPr>
          <a:endParaRPr lang="en-US"/>
        </a:p>
      </c:txPr>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10</xdr:col>
      <xdr:colOff>607908</xdr:colOff>
      <xdr:row>21</xdr:row>
      <xdr:rowOff>71747</xdr:rowOff>
    </xdr:from>
    <xdr:ext cx="10654395" cy="4653642"/>
    <xdr:graphicFrame macro="">
      <xdr:nvGraphicFramePr>
        <xdr:cNvPr id="2" name="Chart 1">
          <a:extLst>
            <a:ext uri="{FF2B5EF4-FFF2-40B4-BE49-F238E27FC236}">
              <a16:creationId xmlns:a16="http://schemas.microsoft.com/office/drawing/2014/main" id="{8C3E1BA0-E95C-4D42-BC11-5FC03F9FC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1</xdr:col>
      <xdr:colOff>142876</xdr:colOff>
      <xdr:row>1</xdr:row>
      <xdr:rowOff>73931</xdr:rowOff>
    </xdr:from>
    <xdr:to>
      <xdr:col>2</xdr:col>
      <xdr:colOff>4085198</xdr:colOff>
      <xdr:row>1</xdr:row>
      <xdr:rowOff>757464</xdr:rowOff>
    </xdr:to>
    <xdr:pic>
      <xdr:nvPicPr>
        <xdr:cNvPr id="2" name="x_x_x_x_x_x_x_x_x_Picture 104">
          <a:extLst>
            <a:ext uri="{FF2B5EF4-FFF2-40B4-BE49-F238E27FC236}">
              <a16:creationId xmlns:a16="http://schemas.microsoft.com/office/drawing/2014/main" id="{B5235653-B38D-4EA9-8CDC-EF1ED0D63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201" y="245381"/>
          <a:ext cx="4510647" cy="461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xdr:col>
          <xdr:colOff>0</xdr:colOff>
          <xdr:row>146</xdr:row>
          <xdr:rowOff>0</xdr:rowOff>
        </xdr:from>
        <xdr:to>
          <xdr:col>87</xdr:col>
          <xdr:colOff>104817</xdr:colOff>
          <xdr:row>146</xdr:row>
          <xdr:rowOff>3207039</xdr:rowOff>
        </xdr:to>
        <xdr:pic>
          <xdr:nvPicPr>
            <xdr:cNvPr id="3" name="Picture 2">
              <a:extLst>
                <a:ext uri="{FF2B5EF4-FFF2-40B4-BE49-F238E27FC236}">
                  <a16:creationId xmlns:a16="http://schemas.microsoft.com/office/drawing/2014/main" id="{EA8703BC-BA6F-4163-A3CE-5D3A285E5B6F}"/>
                </a:ext>
              </a:extLst>
            </xdr:cNvPr>
            <xdr:cNvPicPr>
              <a:picLocks noChangeAspect="1" noChangeArrowheads="1"/>
              <a:extLst>
                <a:ext uri="{84589F7E-364E-4C9E-8A38-B11213B215E9}">
                  <a14:cameraTool cellRange="#REF!" spid="_x0000_s2049"/>
                </a:ext>
              </a:extLst>
            </xdr:cNvPicPr>
          </xdr:nvPicPr>
          <xdr:blipFill>
            <a:blip xmlns:r="http://schemas.openxmlformats.org/officeDocument/2006/relationships" r:embed="rId2"/>
            <a:srcRect/>
            <a:stretch>
              <a:fillRect/>
            </a:stretch>
          </xdr:blipFill>
          <xdr:spPr bwMode="auto">
            <a:xfrm>
              <a:off x="571500" y="77676375"/>
              <a:ext cx="39557367" cy="320703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BCC%20Master%20Folder\1.%20PROCUREMENT\PROJECTS\BELMORE\SUB%20CONTRACTORS\CIVIL\LANDSCAPING\Comparison%20Statement%20-%20Landscape%20%20Bellmore%20rev%2001.xlsx" TargetMode="External"/><Relationship Id="rId1" Type="http://schemas.openxmlformats.org/officeDocument/2006/relationships/externalLinkPath" Target="file:///Z:\BCC%20Master%20Folder\1.%20PROCUREMENT\PROJECTS\BELMORE\SUB%20CONTRACTORS\CIVIL\LANDSCAPING\Comparison%20Statement%20-%20Landscape%20%20Bellmore%20rev%20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AppData/Local/Packages/5319275A.WhatsAppDesktop_cv1g1gvanyjgm/LocalState/sessions/2EB88544108953F12366E162DB33CE63587E4C6E/transfers/2026-19/BidTab-%20-%20FALSE%20CEILING%20&amp;%20G.xlsx" TargetMode="External"/><Relationship Id="rId2" Type="http://schemas.openxmlformats.org/officeDocument/2006/relationships/externalLinkPath" Target="file:///C:\Users\Reshma%20Sadamate\AppData\Local\Packages\5319275A.WhatsAppDesktop_cv1g1gvanyjgm\LocalState\sessions\2EB88544108953F12366E162DB33CE63587E4C6E\transfers\2026-19\BidTab-%20-%20FALSE%20CEILING%20&amp;%20G.xlsx" TargetMode="External"/><Relationship Id="rId1" Type="http://schemas.openxmlformats.org/officeDocument/2006/relationships/externalLinkPath" Target="/Users/Reshma%20Sadamate/AppData/Local/Packages/5319275A.WhatsAppDesktop_cv1g1gvanyjgm/LocalState/sessions/2EB88544108953F12366E162DB33CE63587E4C6E/transfers/2026-19/BidTab-%20-%20FALSE%20CEILING%20&amp;%20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
      <sheetName val="Landscape R01"/>
      <sheetName val="Landscape R00"/>
      <sheetName val="BOQ"/>
      <sheetName val="Sheet1"/>
      <sheetName val="MAIDS BATH BF "/>
      <sheetName val=" POWDER ROOM BF "/>
      <sheetName val="BAR PANTRY "/>
      <sheetName val="LAUNDRY "/>
      <sheetName val=" POWDER ROOM GF"/>
      <sheetName val="KITCHEN GF  "/>
      <sheetName val="BATH ROOM-1 GF "/>
      <sheetName val="BATHROOM-2"/>
      <sheetName val="BATHROOM-3 "/>
      <sheetName val="BATHROOM-4 "/>
      <sheetName val="MASTER BATHROOM"/>
    </sheetNames>
    <sheetDataSet>
      <sheetData sheetId="0">
        <row r="8">
          <cell r="C8" t="str">
            <v>Vendor Name</v>
          </cell>
        </row>
        <row r="10">
          <cell r="C10" t="str">
            <v>Green dunes</v>
          </cell>
          <cell r="I10">
            <v>2272085.5999999996</v>
          </cell>
          <cell r="S10">
            <v>2189273.1440000003</v>
          </cell>
        </row>
        <row r="11">
          <cell r="C11" t="str">
            <v>Premier Irrigation &amp; Landscaping L.L.C</v>
          </cell>
          <cell r="I11">
            <v>2379630.2999999998</v>
          </cell>
          <cell r="S11">
            <v>2189273.1440000003</v>
          </cell>
        </row>
        <row r="12">
          <cell r="C12" t="str">
            <v>Planta Lanndscaping &amp; Irrigation L.L.C</v>
          </cell>
          <cell r="I12">
            <v>2816733</v>
          </cell>
          <cell r="S12">
            <v>2189273.1440000003</v>
          </cell>
        </row>
        <row r="13">
          <cell r="C13" t="str">
            <v>KTC INTERNATIONAL LANDSCAPING LLC</v>
          </cell>
          <cell r="I13">
            <v>3866696</v>
          </cell>
          <cell r="S13">
            <v>2189273.1440000003</v>
          </cell>
        </row>
        <row r="14">
          <cell r="C14">
            <v>0</v>
          </cell>
          <cell r="I14">
            <v>0</v>
          </cell>
          <cell r="S14">
            <v>2189273.1440000003</v>
          </cell>
        </row>
        <row r="15">
          <cell r="C15">
            <v>0</v>
          </cell>
          <cell r="I15">
            <v>0</v>
          </cell>
          <cell r="S15">
            <v>2189273.1440000003</v>
          </cell>
        </row>
        <row r="16">
          <cell r="C16">
            <v>0</v>
          </cell>
          <cell r="I16">
            <v>0</v>
          </cell>
          <cell r="S16">
            <v>2189273.1440000003</v>
          </cell>
        </row>
        <row r="17">
          <cell r="C17">
            <v>0</v>
          </cell>
          <cell r="I17">
            <v>0</v>
          </cell>
          <cell r="S17">
            <v>2189273.1440000003</v>
          </cell>
        </row>
        <row r="25">
          <cell r="D25" t="str">
            <v>Budget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coring"/>
      <sheetName val="Summary Balghalium majlis"/>
      <sheetName val="Balghalium majlis"/>
      <sheetName val="Summary Balghalium Saadiyat"/>
      <sheetName val="saadiyat"/>
      <sheetName val="mix"/>
      <sheetName val="BidTab2"/>
    </sheetNames>
    <sheetDataSet>
      <sheetData sheetId="0"/>
      <sheetData sheetId="1"/>
      <sheetData sheetId="2"/>
      <sheetData sheetId="3"/>
      <sheetData sheetId="4"/>
      <sheetData sheetId="5"/>
      <sheetData sheetId="6">
        <row r="13">
          <cell r="B13">
            <v>0</v>
          </cell>
          <cell r="C13"/>
          <cell r="D13">
            <v>0</v>
          </cell>
          <cell r="E13">
            <v>0</v>
          </cell>
          <cell r="F13">
            <v>0</v>
          </cell>
          <cell r="G13"/>
          <cell r="H13">
            <v>0</v>
          </cell>
          <cell r="I13">
            <v>0</v>
          </cell>
          <cell r="J13">
            <v>0</v>
          </cell>
          <cell r="K13"/>
          <cell r="L13">
            <v>0</v>
          </cell>
        </row>
        <row r="14">
          <cell r="B14">
            <v>0</v>
          </cell>
          <cell r="C14"/>
          <cell r="D14">
            <v>0</v>
          </cell>
          <cell r="E14">
            <v>0</v>
          </cell>
          <cell r="F14">
            <v>0</v>
          </cell>
          <cell r="G14"/>
          <cell r="H14">
            <v>0</v>
          </cell>
          <cell r="I14">
            <v>0</v>
          </cell>
          <cell r="J14">
            <v>0</v>
          </cell>
          <cell r="K14"/>
          <cell r="L14">
            <v>0</v>
          </cell>
        </row>
        <row r="15">
          <cell r="B15">
            <v>0</v>
          </cell>
          <cell r="C15"/>
          <cell r="D15">
            <v>0</v>
          </cell>
          <cell r="E15">
            <v>0</v>
          </cell>
          <cell r="F15">
            <v>0</v>
          </cell>
          <cell r="G15"/>
          <cell r="H15">
            <v>0</v>
          </cell>
          <cell r="I15">
            <v>0</v>
          </cell>
          <cell r="J15">
            <v>0</v>
          </cell>
          <cell r="K15"/>
          <cell r="L15">
            <v>0</v>
          </cell>
        </row>
        <row r="18">
          <cell r="B18" t="str">
            <v>ALUMINUM PANS FOR</v>
          </cell>
          <cell r="C18" t="str">
            <v>ACOUSTICAL METAL PAN CEILING</v>
          </cell>
          <cell r="D18" t="str">
            <v>INTERIOR GYPSUM BOARD • Optimum Gulf</v>
          </cell>
          <cell r="E18" t="str">
            <v>GYPSUM BOARD, TYPE C • Optimum Gulf</v>
          </cell>
        </row>
        <row r="19">
          <cell r="B19" t="str">
            <v>ACOUSTICAL METAL PAN CEILING</v>
          </cell>
          <cell r="C19" t="str">
            <v>• Armstrong Prelude XL</v>
          </cell>
          <cell r="D19" t="str">
            <v>• Ecophon Saint-Gobain</v>
          </cell>
          <cell r="E19" t="str">
            <v>• Ecophon Saint-Gobain</v>
          </cell>
        </row>
        <row r="20">
          <cell r="B20" t="str">
            <v>• Armstrong Metal Works Model No. 7209</v>
          </cell>
          <cell r="C20" t="str">
            <v>• Dampa EU</v>
          </cell>
          <cell r="D20" t="str">
            <v>• Georgia-Pacific Gypsum LLC.</v>
          </cell>
          <cell r="E20" t="str">
            <v>• Georgia-Pacific Gypsum LLC; Fireguard C.</v>
          </cell>
        </row>
        <row r="21">
          <cell r="B21" t="str">
            <v>• Decoustic Canada</v>
          </cell>
          <cell r="C21" t="str">
            <v>• Durium EU</v>
          </cell>
          <cell r="D21" t="str">
            <v>• National Gypsum Company.</v>
          </cell>
          <cell r="E21" t="str">
            <v>• National Gypsum Company; Gold Bond Fire-</v>
          </cell>
        </row>
        <row r="22">
          <cell r="B22" t="str">
            <v>• Danoqips EU</v>
          </cell>
          <cell r="C22" t="str">
            <v>• Hock EU</v>
          </cell>
          <cell r="D22" t="str">
            <v>• Temple-Inland.</v>
          </cell>
          <cell r="E22" t="str">
            <v>Shield C.</v>
          </cell>
        </row>
        <row r="23">
          <cell r="B23" t="str">
            <v>• (equal and approved is acceptable) subject to</v>
          </cell>
          <cell r="C23" t="str">
            <v>• (equal and approved is acceptable) subject to</v>
          </cell>
          <cell r="D23" t="str">
            <v>• USG Corporation.</v>
          </cell>
          <cell r="E23" t="str">
            <v>• Temple-Inland; Type TG-C.</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A546E-38C7-45CF-A9D5-C3329C3F9BF5}">
  <sheetPr>
    <pageSetUpPr fitToPage="1"/>
  </sheetPr>
  <dimension ref="A1:T35"/>
  <sheetViews>
    <sheetView tabSelected="1" zoomScale="55" zoomScaleNormal="55" workbookViewId="0">
      <selection activeCell="AK1" sqref="AK1:BL1048576"/>
    </sheetView>
  </sheetViews>
  <sheetFormatPr defaultColWidth="9.08984375" defaultRowHeight="14.25" customHeight="1" x14ac:dyDescent="0.35"/>
  <cols>
    <col min="1" max="1" width="12.6328125" style="6" customWidth="1"/>
    <col min="2" max="2" width="18.54296875" style="6" customWidth="1"/>
    <col min="3" max="3" width="30.6328125" style="6" customWidth="1"/>
    <col min="4" max="4" width="20.1796875" style="6" customWidth="1"/>
    <col min="5" max="5" width="20.453125" style="6" customWidth="1"/>
    <col min="6" max="6" width="19.7265625" style="6" customWidth="1"/>
    <col min="7" max="7" width="19.90625" style="6" customWidth="1"/>
    <col min="8" max="8" width="20.1796875" style="6" customWidth="1"/>
    <col min="9" max="9" width="24.36328125" style="6" customWidth="1"/>
    <col min="10" max="10" width="17.6328125" style="6" customWidth="1"/>
    <col min="11" max="11" width="18.36328125" style="6" customWidth="1"/>
    <col min="12" max="12" width="16.36328125" style="6" customWidth="1"/>
    <col min="13" max="13" width="15" style="6" customWidth="1"/>
    <col min="14" max="14" width="17.7265625" style="6" customWidth="1"/>
    <col min="15" max="15" width="19.08984375" style="6" customWidth="1"/>
    <col min="16" max="16" width="29" style="6" customWidth="1"/>
    <col min="17" max="17" width="57.26953125" style="6" customWidth="1"/>
    <col min="18" max="18" width="9.08984375" style="6"/>
    <col min="19" max="19" width="15.90625" style="6" bestFit="1" customWidth="1"/>
    <col min="20" max="20" width="15.81640625" style="6" customWidth="1"/>
    <col min="21" max="16384" width="9.08984375" style="6"/>
  </cols>
  <sheetData>
    <row r="1" spans="1:20" ht="34.5" customHeight="1" x14ac:dyDescent="0.35">
      <c r="A1" s="1" t="s">
        <v>0</v>
      </c>
      <c r="B1" s="2"/>
      <c r="C1" s="3" t="str">
        <f>'Landscape R01'!D4</f>
        <v>BELMORE RESIDENCES 305 Plot No. 6110305, Bukadra, Dubai, United Arab Emirates @Ras Al Khor</v>
      </c>
      <c r="D1" s="4"/>
      <c r="E1" s="4"/>
      <c r="F1" s="4"/>
      <c r="G1" s="4"/>
      <c r="H1" s="4"/>
      <c r="I1" s="4"/>
      <c r="J1" s="4"/>
      <c r="K1" s="4"/>
      <c r="L1" s="4"/>
      <c r="M1" s="4"/>
      <c r="N1" s="4"/>
      <c r="O1" s="4"/>
      <c r="P1" s="4"/>
      <c r="Q1" s="5">
        <f>'Landscape R01'!BK4</f>
        <v>46160</v>
      </c>
    </row>
    <row r="2" spans="1:20" ht="32.5" customHeight="1" x14ac:dyDescent="0.35">
      <c r="A2" s="7" t="s">
        <v>1</v>
      </c>
      <c r="B2" s="8"/>
      <c r="C2" s="9" t="s">
        <v>2</v>
      </c>
      <c r="D2" s="10"/>
      <c r="E2" s="10"/>
      <c r="F2" s="10"/>
      <c r="G2" s="10"/>
      <c r="H2" s="10"/>
      <c r="I2" s="10"/>
      <c r="J2" s="10"/>
      <c r="K2" s="10"/>
      <c r="L2" s="10"/>
      <c r="M2" s="10"/>
      <c r="N2" s="10"/>
      <c r="O2" s="10"/>
      <c r="P2" s="11" t="s">
        <v>3</v>
      </c>
      <c r="Q2" s="12" t="str">
        <f>'Landscape R01'!AZ4 &amp;" - "&amp;'Landscape R01'!BL4</f>
        <v>CS/HO/PROC/P1026/CIV/26/12 - REV-0</v>
      </c>
    </row>
    <row r="3" spans="1:20" ht="28" customHeight="1" x14ac:dyDescent="0.35">
      <c r="A3" s="7" t="s">
        <v>4</v>
      </c>
      <c r="B3" s="8"/>
      <c r="C3" s="13" t="s">
        <v>5</v>
      </c>
      <c r="D3" s="14"/>
      <c r="E3" s="14"/>
      <c r="F3" s="14"/>
      <c r="G3" s="14"/>
      <c r="H3" s="14"/>
      <c r="I3" s="14"/>
      <c r="J3" s="14"/>
      <c r="K3" s="14"/>
      <c r="L3" s="14"/>
      <c r="M3" s="14"/>
      <c r="N3" s="14"/>
      <c r="O3" s="14"/>
      <c r="P3" s="14"/>
      <c r="Q3" s="15"/>
    </row>
    <row r="4" spans="1:20" ht="28" customHeight="1" x14ac:dyDescent="0.35">
      <c r="A4" s="7" t="s">
        <v>6</v>
      </c>
      <c r="B4" s="8"/>
      <c r="C4" s="16" t="s">
        <v>7</v>
      </c>
      <c r="Q4" s="17"/>
    </row>
    <row r="5" spans="1:20" ht="37" customHeight="1" thickBot="1" x14ac:dyDescent="0.4">
      <c r="A5" s="7" t="s">
        <v>8</v>
      </c>
      <c r="B5" s="8"/>
      <c r="C5" s="18" t="str">
        <f>'Landscape R01'!E2</f>
        <v>COMPARISON STATEMENT FOR LANDSCAPING WORKS (SUPPLY &amp; INSTALLATION)</v>
      </c>
      <c r="Q5" s="17"/>
    </row>
    <row r="6" spans="1:20" ht="17.5" x14ac:dyDescent="0.35">
      <c r="A6" s="19" t="s">
        <v>9</v>
      </c>
      <c r="B6" s="20"/>
      <c r="C6" s="20"/>
      <c r="D6" s="20"/>
      <c r="E6" s="20"/>
      <c r="F6" s="20"/>
      <c r="G6" s="20"/>
      <c r="H6" s="20"/>
      <c r="I6" s="20"/>
      <c r="J6" s="20"/>
      <c r="K6" s="20"/>
      <c r="L6" s="20"/>
      <c r="M6" s="20"/>
      <c r="N6" s="20"/>
      <c r="O6" s="20"/>
      <c r="P6" s="20"/>
      <c r="Q6" s="21"/>
    </row>
    <row r="7" spans="1:20" ht="18" thickBot="1" x14ac:dyDescent="0.4">
      <c r="A7" s="22"/>
      <c r="B7" s="23"/>
      <c r="C7" s="23"/>
      <c r="D7" s="23"/>
      <c r="E7" s="23"/>
      <c r="F7" s="23"/>
      <c r="G7" s="23"/>
      <c r="H7" s="23"/>
      <c r="I7" s="23"/>
      <c r="J7" s="23"/>
      <c r="K7" s="23"/>
      <c r="L7" s="23"/>
      <c r="M7" s="23"/>
      <c r="N7" s="23"/>
      <c r="O7" s="23"/>
      <c r="P7" s="23"/>
      <c r="Q7" s="24"/>
    </row>
    <row r="8" spans="1:20" s="35" customFormat="1" ht="58.5" customHeight="1" x14ac:dyDescent="0.35">
      <c r="A8" s="25" t="s">
        <v>10</v>
      </c>
      <c r="B8" s="26" t="s">
        <v>11</v>
      </c>
      <c r="C8" s="27" t="s">
        <v>12</v>
      </c>
      <c r="D8" s="28" t="s">
        <v>13</v>
      </c>
      <c r="E8" s="29"/>
      <c r="F8" s="29"/>
      <c r="G8" s="29"/>
      <c r="H8" s="29"/>
      <c r="I8" s="30"/>
      <c r="J8" s="31" t="s">
        <v>14</v>
      </c>
      <c r="K8" s="26"/>
      <c r="L8" s="26"/>
      <c r="M8" s="27"/>
      <c r="N8" s="32" t="s">
        <v>15</v>
      </c>
      <c r="O8" s="27"/>
      <c r="P8" s="33" t="s">
        <v>16</v>
      </c>
      <c r="Q8" s="34" t="s">
        <v>17</v>
      </c>
    </row>
    <row r="9" spans="1:20" s="35" customFormat="1" ht="69.75" customHeight="1" thickBot="1" x14ac:dyDescent="0.4">
      <c r="A9" s="36"/>
      <c r="B9" s="37"/>
      <c r="C9" s="38"/>
      <c r="D9" s="39" t="s">
        <v>18</v>
      </c>
      <c r="E9" s="40" t="s">
        <v>19</v>
      </c>
      <c r="F9" s="40" t="s">
        <v>20</v>
      </c>
      <c r="G9" s="40" t="s">
        <v>21</v>
      </c>
      <c r="H9" s="40" t="s">
        <v>22</v>
      </c>
      <c r="I9" s="41" t="s">
        <v>23</v>
      </c>
      <c r="J9" s="42" t="s">
        <v>24</v>
      </c>
      <c r="K9" s="43" t="s">
        <v>25</v>
      </c>
      <c r="L9" s="43" t="s">
        <v>26</v>
      </c>
      <c r="M9" s="44" t="s">
        <v>27</v>
      </c>
      <c r="N9" s="45" t="s">
        <v>28</v>
      </c>
      <c r="O9" s="44" t="s">
        <v>29</v>
      </c>
      <c r="P9" s="46"/>
      <c r="Q9" s="47"/>
    </row>
    <row r="10" spans="1:20" s="16" customFormat="1" ht="67.5" customHeight="1" x14ac:dyDescent="0.35">
      <c r="A10" s="48">
        <v>1</v>
      </c>
      <c r="B10" s="49" t="s">
        <v>30</v>
      </c>
      <c r="C10" s="50" t="str">
        <f>'Landscape R01'!AF5</f>
        <v>Green dunes</v>
      </c>
      <c r="D10" s="51">
        <f>'Landscape R01'!AH130</f>
        <v>2272085.5999999996</v>
      </c>
      <c r="E10" s="52">
        <f>'Landscape R01'!AJ130</f>
        <v>0</v>
      </c>
      <c r="F10" s="52"/>
      <c r="G10" s="52"/>
      <c r="H10" s="53"/>
      <c r="I10" s="54">
        <f>D10</f>
        <v>2272085.5999999996</v>
      </c>
      <c r="J10" s="55">
        <v>0.1</v>
      </c>
      <c r="K10" s="56">
        <v>0.5</v>
      </c>
      <c r="L10" s="57">
        <v>0.4</v>
      </c>
      <c r="M10" s="58">
        <v>0.1</v>
      </c>
      <c r="N10" s="59" t="s">
        <v>31</v>
      </c>
      <c r="O10" s="60" t="s">
        <v>32</v>
      </c>
      <c r="P10" s="61">
        <f>'Landscape R01'!AF145</f>
        <v>0</v>
      </c>
      <c r="Q10" s="62">
        <f>'Landscape R01'!AI9</f>
        <v>0</v>
      </c>
      <c r="S10" s="63">
        <f>$D$26</f>
        <v>2189273.1440000003</v>
      </c>
      <c r="T10" s="16">
        <f>IF(H10=0,G10,IF(G10=0,F10,IF(E10=0,D10,H10)))</f>
        <v>0</v>
      </c>
    </row>
    <row r="11" spans="1:20" s="16" customFormat="1" ht="67.5" customHeight="1" x14ac:dyDescent="0.35">
      <c r="A11" s="64">
        <v>2</v>
      </c>
      <c r="B11" s="65" t="s">
        <v>33</v>
      </c>
      <c r="C11" s="50" t="str">
        <f>'Landscape R01'!Q5</f>
        <v>Premier Irrigation &amp; Landscaping L.L.C</v>
      </c>
      <c r="D11" s="66">
        <f>'Landscape R01'!R130</f>
        <v>2379630.2999999998</v>
      </c>
      <c r="E11" s="67">
        <f>'Landscape R01'!T130</f>
        <v>0</v>
      </c>
      <c r="F11" s="68"/>
      <c r="G11" s="68"/>
      <c r="H11" s="69"/>
      <c r="I11" s="70">
        <f>D11</f>
        <v>2379630.2999999998</v>
      </c>
      <c r="J11" s="55">
        <v>0.1</v>
      </c>
      <c r="K11" s="71"/>
      <c r="L11" s="57">
        <v>0.9</v>
      </c>
      <c r="M11" s="58">
        <v>0.1</v>
      </c>
      <c r="N11" s="72" t="s">
        <v>31</v>
      </c>
      <c r="O11" s="60" t="s">
        <v>32</v>
      </c>
      <c r="P11" s="61">
        <f>'Landscape R01'!Q145</f>
        <v>0</v>
      </c>
      <c r="Q11" s="73">
        <f>'Landscape R01'!S9</f>
        <v>0</v>
      </c>
      <c r="S11" s="63">
        <f t="shared" ref="S11:S17" si="0">$D$26</f>
        <v>2189273.1440000003</v>
      </c>
    </row>
    <row r="12" spans="1:20" s="16" customFormat="1" ht="67.5" customHeight="1" x14ac:dyDescent="0.35">
      <c r="A12" s="64">
        <v>3</v>
      </c>
      <c r="B12" s="65" t="s">
        <v>34</v>
      </c>
      <c r="C12" s="50" t="str">
        <f>'Landscape R01'!U5</f>
        <v>Planta Lanndscaping &amp; Irrigation L.L.C</v>
      </c>
      <c r="D12" s="74">
        <f>'Landscape R01'!W130</f>
        <v>2816733</v>
      </c>
      <c r="E12" s="68">
        <f>'Landscape R01'!Y130</f>
        <v>0</v>
      </c>
      <c r="F12" s="67">
        <f>'Landscape R01'!AA130</f>
        <v>0</v>
      </c>
      <c r="G12" s="67">
        <f>'Landscape R01'!AC130</f>
        <v>0</v>
      </c>
      <c r="H12" s="75">
        <f>'Landscape R01'!AE130</f>
        <v>0</v>
      </c>
      <c r="I12" s="76">
        <f>D12</f>
        <v>2816733</v>
      </c>
      <c r="J12" s="55"/>
      <c r="K12" s="77"/>
      <c r="L12" s="57"/>
      <c r="M12" s="58"/>
      <c r="N12" s="59"/>
      <c r="O12" s="60"/>
      <c r="P12" s="61">
        <f>'Landscape R01'!U145</f>
        <v>0</v>
      </c>
      <c r="Q12" s="78">
        <f>'Landscape R01'!AD9</f>
        <v>0</v>
      </c>
      <c r="S12" s="63">
        <f t="shared" si="0"/>
        <v>2189273.1440000003</v>
      </c>
    </row>
    <row r="13" spans="1:20" s="16" customFormat="1" ht="67.5" customHeight="1" x14ac:dyDescent="0.35">
      <c r="A13" s="64">
        <v>4</v>
      </c>
      <c r="B13" s="65" t="s">
        <v>35</v>
      </c>
      <c r="C13" s="50" t="str">
        <f>'Landscape R01'!H5</f>
        <v>KTC INTERNATIONAL LANDSCAPING LLC</v>
      </c>
      <c r="D13" s="74">
        <f>'Landscape R01'!J130</f>
        <v>3866696</v>
      </c>
      <c r="E13" s="68">
        <f>'Landscape R01'!L130</f>
        <v>0</v>
      </c>
      <c r="F13" s="68">
        <f>'Landscape R01'!P130</f>
        <v>0</v>
      </c>
      <c r="G13" s="79">
        <f>'Landscape R01'!N130</f>
        <v>0</v>
      </c>
      <c r="H13" s="80">
        <f ca="1">IF(H13=0,G13,IF(G13=0,IF(E13=0,D13,H13)))</f>
        <v>0</v>
      </c>
      <c r="I13" s="70">
        <f>D13</f>
        <v>3866696</v>
      </c>
      <c r="J13" s="81"/>
      <c r="K13" s="57">
        <v>0.5</v>
      </c>
      <c r="L13" s="57">
        <v>0.5</v>
      </c>
      <c r="M13" s="58">
        <v>0.1</v>
      </c>
      <c r="N13" s="72" t="s">
        <v>36</v>
      </c>
      <c r="O13" s="60" t="s">
        <v>37</v>
      </c>
      <c r="P13" s="82" t="s">
        <v>38</v>
      </c>
      <c r="Q13" s="73">
        <f>'Landscape R01'!O9</f>
        <v>0</v>
      </c>
      <c r="S13" s="63">
        <f t="shared" si="0"/>
        <v>2189273.1440000003</v>
      </c>
    </row>
    <row r="14" spans="1:20" s="16" customFormat="1" ht="67.5" hidden="1" customHeight="1" x14ac:dyDescent="0.35">
      <c r="A14" s="64">
        <v>5</v>
      </c>
      <c r="B14" s="65" t="s">
        <v>39</v>
      </c>
      <c r="C14" s="50">
        <f>'Landscape R01'!AK5</f>
        <v>0</v>
      </c>
      <c r="D14" s="74">
        <f>'Landscape R01'!AL130</f>
        <v>0</v>
      </c>
      <c r="E14" s="68">
        <f>'Landscape R01'!AN130</f>
        <v>0</v>
      </c>
      <c r="F14" s="68">
        <f>'Landscape R01'!AP130</f>
        <v>0</v>
      </c>
      <c r="G14" s="83">
        <f>'Landscape R01'!AT130</f>
        <v>0</v>
      </c>
      <c r="H14" s="84">
        <f>'Landscape R01'!AR130</f>
        <v>0</v>
      </c>
      <c r="I14" s="54">
        <f>'Landscape R01'!AT130</f>
        <v>0</v>
      </c>
      <c r="J14" s="81"/>
      <c r="K14" s="85"/>
      <c r="L14" s="71"/>
      <c r="M14" s="60"/>
      <c r="N14" s="59"/>
      <c r="O14" s="60"/>
      <c r="P14" s="82" t="s">
        <v>40</v>
      </c>
      <c r="Q14" s="78">
        <f>'Landscape R01'!AS9</f>
        <v>0</v>
      </c>
      <c r="S14" s="63">
        <f t="shared" si="0"/>
        <v>2189273.1440000003</v>
      </c>
    </row>
    <row r="15" spans="1:20" s="16" customFormat="1" ht="67.5" hidden="1" customHeight="1" x14ac:dyDescent="0.35">
      <c r="A15" s="64">
        <v>6</v>
      </c>
      <c r="B15" s="65" t="s">
        <v>41</v>
      </c>
      <c r="C15" s="86">
        <f>'Landscape R01'!AU5</f>
        <v>0</v>
      </c>
      <c r="D15" s="66">
        <f>'Landscape R01'!AV130</f>
        <v>0</v>
      </c>
      <c r="E15" s="67">
        <f>'Landscape R01'!AX130</f>
        <v>0</v>
      </c>
      <c r="F15" s="84">
        <f>'Landscape R01'!AZ130</f>
        <v>0</v>
      </c>
      <c r="G15" s="67"/>
      <c r="H15" s="75"/>
      <c r="I15" s="87">
        <f>E15</f>
        <v>0</v>
      </c>
      <c r="J15" s="55">
        <v>0.1</v>
      </c>
      <c r="K15" s="88"/>
      <c r="L15" s="57">
        <v>0.9</v>
      </c>
      <c r="M15" s="58">
        <v>0.1</v>
      </c>
      <c r="N15" s="72" t="s">
        <v>42</v>
      </c>
      <c r="O15" s="60" t="s">
        <v>43</v>
      </c>
      <c r="P15" s="82" t="s">
        <v>44</v>
      </c>
      <c r="Q15" s="73">
        <f>'Landscape R01'!AY9</f>
        <v>0</v>
      </c>
      <c r="S15" s="63">
        <f t="shared" si="0"/>
        <v>2189273.1440000003</v>
      </c>
    </row>
    <row r="16" spans="1:20" s="16" customFormat="1" ht="67.5" hidden="1" customHeight="1" x14ac:dyDescent="0.35">
      <c r="A16" s="64">
        <v>7</v>
      </c>
      <c r="B16" s="65" t="s">
        <v>45</v>
      </c>
      <c r="C16" s="86">
        <f>'Landscape R01'!BA5</f>
        <v>0</v>
      </c>
      <c r="D16" s="74">
        <f>'Landscape R01'!BB130</f>
        <v>0</v>
      </c>
      <c r="E16" s="68">
        <f>'Landscape R01'!BD130</f>
        <v>0</v>
      </c>
      <c r="F16" s="67">
        <f>'Landscape R01'!BF130</f>
        <v>0</v>
      </c>
      <c r="G16" s="89"/>
      <c r="H16" s="80"/>
      <c r="I16" s="76">
        <f>F16</f>
        <v>0</v>
      </c>
      <c r="J16" s="55">
        <v>0.1</v>
      </c>
      <c r="K16" s="57">
        <v>0.4</v>
      </c>
      <c r="L16" s="57">
        <v>0.5</v>
      </c>
      <c r="M16" s="58">
        <v>0.1</v>
      </c>
      <c r="N16" s="72" t="s">
        <v>31</v>
      </c>
      <c r="O16" s="60" t="s">
        <v>46</v>
      </c>
      <c r="P16" s="61">
        <f>'Landscape R01'!BA145</f>
        <v>0</v>
      </c>
      <c r="Q16" s="90">
        <f>'Landscape R01'!BE9</f>
        <v>0</v>
      </c>
      <c r="S16" s="63">
        <f t="shared" si="0"/>
        <v>2189273.1440000003</v>
      </c>
    </row>
    <row r="17" spans="1:19" s="16" customFormat="1" ht="67.5" hidden="1" customHeight="1" thickBot="1" x14ac:dyDescent="0.4">
      <c r="A17" s="91">
        <v>8</v>
      </c>
      <c r="B17" s="92" t="s">
        <v>47</v>
      </c>
      <c r="C17" s="93">
        <f>'Landscape R01'!BG5</f>
        <v>0</v>
      </c>
      <c r="D17" s="94">
        <f>'Landscape R01'!BH130</f>
        <v>0</v>
      </c>
      <c r="E17" s="95">
        <f>'Landscape R01'!BJ130</f>
        <v>0</v>
      </c>
      <c r="F17" s="95">
        <f>'Landscape R01'!BL130</f>
        <v>0</v>
      </c>
      <c r="G17" s="96"/>
      <c r="H17" s="97"/>
      <c r="I17" s="98">
        <f>F17</f>
        <v>0</v>
      </c>
      <c r="J17" s="99"/>
      <c r="K17" s="100"/>
      <c r="L17" s="100"/>
      <c r="M17" s="101"/>
      <c r="N17" s="102"/>
      <c r="O17" s="101"/>
      <c r="P17" s="103">
        <f>'Landscape R01'!BG145</f>
        <v>0</v>
      </c>
      <c r="Q17" s="104">
        <f>'Landscape R01'!BK9</f>
        <v>0</v>
      </c>
      <c r="S17" s="63">
        <f t="shared" si="0"/>
        <v>2189273.1440000003</v>
      </c>
    </row>
    <row r="18" spans="1:19" ht="64.25" hidden="1" customHeight="1" x14ac:dyDescent="0.35">
      <c r="A18" s="105">
        <v>7</v>
      </c>
      <c r="B18" s="49" t="s">
        <v>45</v>
      </c>
      <c r="C18" s="106">
        <f>[2]BidTab2!B13</f>
        <v>0</v>
      </c>
      <c r="D18" s="107"/>
      <c r="E18" s="108"/>
      <c r="F18" s="108"/>
      <c r="G18" s="108"/>
      <c r="H18" s="108"/>
      <c r="I18" s="109">
        <f>VLOOKUP(C18,[2]BidTab2!B13:L21,5,FALSE)</f>
        <v>0</v>
      </c>
      <c r="J18" s="59"/>
      <c r="K18" s="77"/>
      <c r="L18" s="110"/>
      <c r="M18" s="111"/>
      <c r="N18" s="59"/>
      <c r="O18" s="111"/>
      <c r="P18" s="112" t="str">
        <f>RIGHT([2]BidTab2!A10,16)</f>
        <v/>
      </c>
      <c r="Q18" s="113"/>
    </row>
    <row r="19" spans="1:19" ht="50" hidden="1" customHeight="1" x14ac:dyDescent="0.35">
      <c r="A19" s="114">
        <v>8</v>
      </c>
      <c r="B19" s="65" t="s">
        <v>47</v>
      </c>
      <c r="C19" s="106">
        <f>[2]BidTab2!B14</f>
        <v>0</v>
      </c>
      <c r="D19" s="115"/>
      <c r="E19" s="108"/>
      <c r="F19" s="108"/>
      <c r="G19" s="108"/>
      <c r="H19" s="108"/>
      <c r="I19" s="109">
        <f>VLOOKUP(C19,[2]BidTab2!B14:L22,5,FALSE)</f>
        <v>0</v>
      </c>
      <c r="J19" s="72"/>
      <c r="K19" s="71"/>
      <c r="L19" s="71"/>
      <c r="M19" s="60"/>
      <c r="N19" s="72"/>
      <c r="O19" s="60"/>
      <c r="P19" s="116" t="str">
        <f>RIGHT([2]BidTab2!A8,16)</f>
        <v/>
      </c>
      <c r="Q19" s="117"/>
    </row>
    <row r="20" spans="1:19" ht="50" hidden="1" customHeight="1" thickBot="1" x14ac:dyDescent="0.4">
      <c r="A20" s="118">
        <v>9</v>
      </c>
      <c r="B20" s="119" t="s">
        <v>48</v>
      </c>
      <c r="C20" s="106">
        <f>[2]BidTab2!B15</f>
        <v>0</v>
      </c>
      <c r="D20" s="120"/>
      <c r="E20" s="121"/>
      <c r="F20" s="121"/>
      <c r="G20" s="121"/>
      <c r="H20" s="121"/>
      <c r="I20" s="122">
        <f>VLOOKUP(C20,[2]BidTab2!B15:L23,5,FALSE)</f>
        <v>0</v>
      </c>
      <c r="J20" s="123"/>
      <c r="K20" s="124"/>
      <c r="L20" s="124"/>
      <c r="M20" s="125"/>
      <c r="N20" s="123"/>
      <c r="O20" s="125"/>
      <c r="P20" s="126" t="str">
        <f>RIGHT([2]BidTab2!A9,16)</f>
        <v/>
      </c>
      <c r="Q20" s="117"/>
    </row>
    <row r="21" spans="1:19" ht="17.5" x14ac:dyDescent="0.35">
      <c r="A21" s="127"/>
      <c r="N21" s="128" t="s">
        <v>49</v>
      </c>
      <c r="O21" s="128"/>
      <c r="Q21" s="129"/>
    </row>
    <row r="22" spans="1:19" ht="25.5" customHeight="1" x14ac:dyDescent="0.35">
      <c r="A22" s="130"/>
      <c r="B22" s="131" t="s">
        <v>50</v>
      </c>
      <c r="C22" s="131"/>
      <c r="D22" s="132" t="str">
        <f>C10</f>
        <v>Green dunes</v>
      </c>
      <c r="E22" s="133"/>
      <c r="F22" s="133"/>
      <c r="G22" s="133"/>
      <c r="H22" s="133"/>
      <c r="I22" s="132"/>
      <c r="J22" s="132"/>
      <c r="P22" s="23"/>
      <c r="Q22" s="129"/>
    </row>
    <row r="23" spans="1:19" ht="25.5" customHeight="1" x14ac:dyDescent="0.35">
      <c r="A23" s="127"/>
      <c r="B23" s="131" t="s">
        <v>51</v>
      </c>
      <c r="C23" s="131"/>
      <c r="D23" s="132"/>
      <c r="E23" s="132"/>
      <c r="F23" s="132"/>
      <c r="G23" s="132"/>
      <c r="H23" s="132"/>
      <c r="I23" s="132"/>
      <c r="J23" s="132"/>
      <c r="P23" s="23"/>
      <c r="Q23" s="129"/>
    </row>
    <row r="24" spans="1:19" ht="14" customHeight="1" thickBot="1" x14ac:dyDescent="0.4">
      <c r="A24" s="134"/>
      <c r="B24" s="135"/>
      <c r="C24" s="135"/>
      <c r="D24" s="23"/>
      <c r="E24" s="23"/>
      <c r="F24" s="23"/>
      <c r="G24" s="23"/>
      <c r="H24" s="23"/>
      <c r="I24" s="23"/>
      <c r="L24" s="136"/>
      <c r="M24" s="136"/>
      <c r="N24" s="136"/>
      <c r="O24" s="136"/>
      <c r="P24" s="136"/>
      <c r="Q24" s="137"/>
    </row>
    <row r="25" spans="1:19" ht="32" customHeight="1" thickBot="1" x14ac:dyDescent="0.4">
      <c r="A25" s="134"/>
      <c r="B25" s="138"/>
      <c r="C25" s="138"/>
      <c r="D25" s="139" t="s">
        <v>52</v>
      </c>
      <c r="E25" s="140" t="s">
        <v>53</v>
      </c>
      <c r="G25" s="138"/>
      <c r="H25" s="138"/>
      <c r="K25" s="141"/>
      <c r="L25" s="141"/>
      <c r="M25" s="141"/>
      <c r="N25" s="141"/>
      <c r="O25" s="141"/>
      <c r="P25" s="141"/>
      <c r="Q25" s="142"/>
    </row>
    <row r="26" spans="1:19" s="148" customFormat="1" ht="32" customHeight="1" x14ac:dyDescent="0.35">
      <c r="A26" s="143" t="s">
        <v>54</v>
      </c>
      <c r="B26" s="144"/>
      <c r="C26" s="145"/>
      <c r="D26" s="146">
        <f>'Landscape R01'!G130</f>
        <v>2189273.1440000003</v>
      </c>
      <c r="E26" s="147"/>
      <c r="J26" s="149"/>
      <c r="K26" s="141"/>
      <c r="L26" s="141"/>
      <c r="M26" s="141"/>
      <c r="N26" s="141"/>
      <c r="O26" s="141"/>
      <c r="P26" s="141"/>
      <c r="Q26" s="142"/>
    </row>
    <row r="27" spans="1:19" s="148" customFormat="1" ht="32" customHeight="1" x14ac:dyDescent="0.35">
      <c r="A27" s="114" t="s">
        <v>55</v>
      </c>
      <c r="B27" s="65"/>
      <c r="C27" s="150"/>
      <c r="D27" s="151">
        <f>I10</f>
        <v>2272085.5999999996</v>
      </c>
      <c r="E27" s="152"/>
      <c r="K27" s="141"/>
      <c r="L27" s="141"/>
      <c r="M27" s="141"/>
      <c r="N27" s="141"/>
      <c r="O27" s="141"/>
      <c r="P27" s="141"/>
      <c r="Q27" s="142"/>
    </row>
    <row r="28" spans="1:19" s="148" customFormat="1" ht="32" customHeight="1" thickBot="1" x14ac:dyDescent="0.4">
      <c r="A28" s="153" t="s">
        <v>56</v>
      </c>
      <c r="B28" s="154"/>
      <c r="C28" s="155"/>
      <c r="D28" s="156">
        <f>D26-D27</f>
        <v>-82812.455999999307</v>
      </c>
      <c r="E28" s="157">
        <f>E26-E27</f>
        <v>0</v>
      </c>
      <c r="K28" s="141"/>
      <c r="L28" s="141"/>
      <c r="M28" s="141"/>
      <c r="N28" s="141"/>
      <c r="O28" s="141"/>
      <c r="P28" s="141"/>
      <c r="Q28" s="142"/>
      <c r="S28" s="6"/>
    </row>
    <row r="29" spans="1:19" ht="40.25" customHeight="1" thickBot="1" x14ac:dyDescent="0.4">
      <c r="A29" s="127"/>
      <c r="K29" s="141"/>
      <c r="L29" s="141"/>
      <c r="M29" s="141"/>
      <c r="N29" s="141"/>
      <c r="O29" s="141"/>
      <c r="P29" s="141"/>
      <c r="Q29" s="142"/>
    </row>
    <row r="30" spans="1:19" s="23" customFormat="1" ht="34.5" customHeight="1" x14ac:dyDescent="0.35">
      <c r="A30" s="158" t="s">
        <v>57</v>
      </c>
      <c r="B30" s="159"/>
      <c r="C30" s="160" t="s">
        <v>58</v>
      </c>
      <c r="D30" s="159">
        <f>'Landscape R01'!U132</f>
        <v>0</v>
      </c>
      <c r="E30" s="159"/>
      <c r="F30" s="159"/>
      <c r="G30" s="159"/>
      <c r="H30" s="159"/>
      <c r="I30" s="159"/>
      <c r="J30" s="161"/>
      <c r="K30" s="162"/>
      <c r="L30" s="162"/>
      <c r="M30" s="162"/>
      <c r="N30" s="162"/>
      <c r="O30" s="162"/>
      <c r="P30" s="162"/>
      <c r="Q30" s="163"/>
    </row>
    <row r="31" spans="1:19" ht="34.5" customHeight="1" x14ac:dyDescent="0.35">
      <c r="A31" s="164"/>
      <c r="B31" s="162"/>
      <c r="C31" s="162" t="s">
        <v>59</v>
      </c>
      <c r="D31" s="162" t="s">
        <v>60</v>
      </c>
      <c r="E31" s="162"/>
      <c r="F31" s="162"/>
      <c r="G31" s="162"/>
      <c r="H31" s="162"/>
      <c r="I31" s="162"/>
      <c r="J31" s="163"/>
      <c r="K31" s="162"/>
      <c r="L31" s="162"/>
      <c r="M31" s="162"/>
      <c r="N31" s="162"/>
      <c r="O31" s="162"/>
      <c r="P31" s="162"/>
      <c r="Q31" s="163"/>
    </row>
    <row r="32" spans="1:19" ht="34.5" customHeight="1" x14ac:dyDescent="0.35">
      <c r="A32" s="164"/>
      <c r="B32" s="162"/>
      <c r="C32" s="162"/>
      <c r="D32" s="162"/>
      <c r="E32" s="162"/>
      <c r="F32" s="162"/>
      <c r="G32" s="162"/>
      <c r="H32" s="162"/>
      <c r="I32" s="162"/>
      <c r="J32" s="163"/>
      <c r="K32" s="162"/>
      <c r="L32" s="162"/>
      <c r="M32" s="162"/>
      <c r="N32" s="162"/>
      <c r="O32" s="162"/>
      <c r="P32" s="162"/>
      <c r="Q32" s="163"/>
    </row>
    <row r="33" spans="1:17" ht="21" customHeight="1" x14ac:dyDescent="0.35">
      <c r="A33" s="164"/>
      <c r="B33" s="162"/>
      <c r="C33" s="162"/>
      <c r="D33" s="162"/>
      <c r="E33" s="162"/>
      <c r="F33" s="162"/>
      <c r="G33" s="162"/>
      <c r="H33" s="162"/>
      <c r="I33" s="162"/>
      <c r="J33" s="163"/>
      <c r="K33" s="162"/>
      <c r="L33" s="162"/>
      <c r="M33" s="162"/>
      <c r="N33" s="162"/>
      <c r="O33" s="162"/>
      <c r="P33" s="162"/>
      <c r="Q33" s="163"/>
    </row>
    <row r="34" spans="1:17" ht="18" customHeight="1" thickBot="1" x14ac:dyDescent="0.4">
      <c r="A34" s="165"/>
      <c r="B34" s="166"/>
      <c r="C34" s="166"/>
      <c r="D34" s="166"/>
      <c r="E34" s="166"/>
      <c r="F34" s="166"/>
      <c r="G34" s="166"/>
      <c r="H34" s="166"/>
      <c r="I34" s="166"/>
      <c r="J34" s="167"/>
      <c r="K34" s="166"/>
      <c r="L34" s="166"/>
      <c r="M34" s="166"/>
      <c r="N34" s="166"/>
      <c r="O34" s="166"/>
      <c r="P34" s="166"/>
      <c r="Q34" s="167"/>
    </row>
    <row r="35" spans="1:17" ht="18" thickBot="1" x14ac:dyDescent="0.4">
      <c r="A35" s="168"/>
      <c r="B35" s="169"/>
      <c r="C35" s="169"/>
      <c r="D35" s="169"/>
      <c r="E35" s="169"/>
      <c r="F35" s="169"/>
      <c r="G35" s="169"/>
      <c r="H35" s="169"/>
      <c r="I35" s="169"/>
      <c r="J35" s="169"/>
      <c r="K35" s="169"/>
      <c r="L35" s="169"/>
      <c r="M35" s="169"/>
      <c r="N35" s="169"/>
      <c r="O35" s="169"/>
      <c r="P35" s="169"/>
      <c r="Q35" s="170"/>
    </row>
  </sheetData>
  <mergeCells count="12">
    <mergeCell ref="Q8:Q9"/>
    <mergeCell ref="D22:J22"/>
    <mergeCell ref="D23:J23"/>
    <mergeCell ref="K25:Q29"/>
    <mergeCell ref="C1:P1"/>
    <mergeCell ref="A8:A9"/>
    <mergeCell ref="B8:B9"/>
    <mergeCell ref="C8:C9"/>
    <mergeCell ref="D8:I8"/>
    <mergeCell ref="J8:M8"/>
    <mergeCell ref="N8:O8"/>
    <mergeCell ref="P8:P9"/>
  </mergeCells>
  <conditionalFormatting sqref="D28">
    <cfRule type="cellIs" dxfId="1" priority="1" operator="greaterThanOrEqual">
      <formula>0</formula>
    </cfRule>
    <cfRule type="cellIs" dxfId="0" priority="2" operator="lessThan">
      <formula>0</formula>
    </cfRule>
  </conditionalFormatting>
  <printOptions horizontalCentered="1"/>
  <pageMargins left="0.70866141732283472" right="0.70866141732283472" top="0.74803149606299213" bottom="0.74803149606299213" header="0.31496062992125984" footer="0.31496062992125984"/>
  <pageSetup paperSize="8" scale="51"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25A71-02D3-4A6C-ABE3-FE985C0AA5B1}">
  <sheetPr>
    <pageSetUpPr fitToPage="1"/>
  </sheetPr>
  <dimension ref="B1:BL152"/>
  <sheetViews>
    <sheetView view="pageBreakPreview" zoomScale="55" zoomScaleNormal="55" zoomScaleSheetLayoutView="55" workbookViewId="0">
      <pane xSplit="7" ySplit="5" topLeftCell="H76" activePane="bottomRight" state="frozen"/>
      <selection activeCell="AK1" sqref="AK1:BL1048576"/>
      <selection pane="topRight" activeCell="AK1" sqref="AK1:BL1048576"/>
      <selection pane="bottomLeft" activeCell="AK1" sqref="AK1:BL1048576"/>
      <selection pane="bottomRight" activeCell="AK1" sqref="AK1:BL1048576"/>
    </sheetView>
  </sheetViews>
  <sheetFormatPr defaultColWidth="8.1796875" defaultRowHeight="13" x14ac:dyDescent="0.35"/>
  <cols>
    <col min="1" max="1" width="8.1796875" style="171"/>
    <col min="2" max="2" width="8" style="171" customWidth="1"/>
    <col min="3" max="3" width="65.08984375" style="172" customWidth="1"/>
    <col min="4" max="4" width="10.453125" style="173" customWidth="1"/>
    <col min="5" max="5" width="14.54296875" style="173" customWidth="1"/>
    <col min="6" max="6" width="18.81640625" style="173" customWidth="1"/>
    <col min="7" max="7" width="30.7265625" style="172" customWidth="1"/>
    <col min="8" max="8" width="19.81640625" style="171" customWidth="1"/>
    <col min="9" max="9" width="18.453125" style="171" customWidth="1"/>
    <col min="10" max="10" width="23.36328125" style="171" customWidth="1"/>
    <col min="11" max="11" width="16.6328125" style="171" hidden="1" customWidth="1"/>
    <col min="12" max="12" width="20.6328125" style="171" hidden="1" customWidth="1"/>
    <col min="13" max="13" width="19.6328125" style="171" hidden="1" customWidth="1"/>
    <col min="14" max="14" width="23.08984375" style="171" hidden="1" customWidth="1"/>
    <col min="15" max="15" width="19.6328125" style="171" hidden="1" customWidth="1"/>
    <col min="16" max="16" width="23.08984375" style="171" hidden="1" customWidth="1"/>
    <col min="17" max="17" width="20.6328125" style="171" customWidth="1"/>
    <col min="18" max="18" width="23.6328125" style="171" customWidth="1"/>
    <col min="19" max="19" width="20.6328125" style="171" hidden="1" customWidth="1"/>
    <col min="20" max="20" width="25.7265625" style="171" hidden="1" customWidth="1"/>
    <col min="21" max="22" width="20.6328125" style="171" customWidth="1"/>
    <col min="23" max="23" width="22.453125" style="171" customWidth="1"/>
    <col min="24" max="31" width="20.6328125" style="171" hidden="1" customWidth="1"/>
    <col min="32" max="33" width="18.1796875" style="171" customWidth="1"/>
    <col min="34" max="34" width="23.36328125" style="171" customWidth="1"/>
    <col min="35" max="35" width="18.81640625" style="171" hidden="1" customWidth="1"/>
    <col min="36" max="58" width="21.1796875" style="171" hidden="1" customWidth="1"/>
    <col min="59" max="59" width="16.6328125" style="171" hidden="1" customWidth="1"/>
    <col min="60" max="60" width="21.90625" style="171" hidden="1" customWidth="1"/>
    <col min="61" max="61" width="16.6328125" style="171" hidden="1" customWidth="1"/>
    <col min="62" max="62" width="20.90625" style="171" hidden="1" customWidth="1"/>
    <col min="63" max="63" width="18.453125" style="171" hidden="1" customWidth="1"/>
    <col min="64" max="64" width="21.26953125" style="171" hidden="1" customWidth="1"/>
    <col min="65" max="65" width="8.1796875" style="171" customWidth="1"/>
    <col min="66" max="16384" width="8.1796875" style="171"/>
  </cols>
  <sheetData>
    <row r="1" spans="2:64" ht="13.5" thickBot="1" x14ac:dyDescent="0.4"/>
    <row r="2" spans="2:64" ht="42" customHeight="1" x14ac:dyDescent="0.35">
      <c r="B2" s="174"/>
      <c r="C2" s="175"/>
      <c r="D2" s="175"/>
      <c r="E2" s="176" t="s">
        <v>61</v>
      </c>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6"/>
      <c r="AU2" s="176"/>
      <c r="AV2" s="176"/>
      <c r="AW2" s="176"/>
      <c r="AX2" s="176"/>
      <c r="AY2" s="176"/>
      <c r="AZ2" s="176"/>
      <c r="BA2" s="176"/>
      <c r="BB2" s="176"/>
      <c r="BC2" s="176"/>
      <c r="BD2" s="176"/>
      <c r="BE2" s="176"/>
      <c r="BF2" s="176"/>
      <c r="BG2" s="176"/>
      <c r="BH2" s="176"/>
      <c r="BI2" s="176"/>
      <c r="BJ2" s="176"/>
      <c r="BK2" s="176"/>
      <c r="BL2" s="177"/>
    </row>
    <row r="3" spans="2:64" ht="11.5" customHeight="1" x14ac:dyDescent="0.35">
      <c r="B3" s="178"/>
      <c r="C3" s="179"/>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c r="AR3" s="180"/>
      <c r="AS3" s="180"/>
      <c r="AT3" s="180"/>
      <c r="AU3" s="180"/>
      <c r="AV3" s="180"/>
      <c r="AW3" s="180"/>
      <c r="AX3" s="180"/>
      <c r="AY3" s="180"/>
      <c r="AZ3" s="180"/>
      <c r="BA3" s="180"/>
      <c r="BB3" s="180"/>
      <c r="BC3" s="180"/>
      <c r="BD3" s="180"/>
      <c r="BE3" s="180"/>
      <c r="BF3" s="180"/>
      <c r="BG3" s="180"/>
      <c r="BH3" s="180"/>
      <c r="BI3" s="180"/>
      <c r="BJ3" s="180"/>
      <c r="BK3" s="180"/>
      <c r="BL3" s="181"/>
    </row>
    <row r="4" spans="2:64" s="188" customFormat="1" ht="30" customHeight="1" thickBot="1" x14ac:dyDescent="0.4">
      <c r="B4" s="182"/>
      <c r="C4" s="183" t="s">
        <v>62</v>
      </c>
      <c r="D4" s="184" t="s">
        <v>63</v>
      </c>
      <c r="E4" s="185"/>
      <c r="F4" s="185"/>
      <c r="G4" s="186"/>
      <c r="H4" s="187"/>
      <c r="I4" s="187"/>
      <c r="J4" s="187"/>
      <c r="M4" s="189"/>
      <c r="N4" s="190"/>
      <c r="O4" s="189"/>
      <c r="P4" s="190"/>
      <c r="Q4" s="190"/>
      <c r="R4" s="190"/>
      <c r="S4" s="190"/>
      <c r="T4" s="190"/>
      <c r="U4" s="190"/>
      <c r="V4" s="190"/>
      <c r="W4" s="190"/>
      <c r="X4" s="190"/>
      <c r="Y4" s="190"/>
      <c r="Z4" s="190"/>
      <c r="AA4" s="190"/>
      <c r="AB4" s="190"/>
      <c r="AC4" s="190"/>
      <c r="AD4" s="190"/>
      <c r="AE4" s="190"/>
      <c r="AF4" s="187"/>
      <c r="AG4" s="187"/>
      <c r="AH4" s="187"/>
      <c r="AI4" s="187"/>
      <c r="AJ4" s="187"/>
      <c r="AK4" s="187"/>
      <c r="AL4" s="187"/>
      <c r="AM4" s="187"/>
      <c r="AN4" s="187"/>
      <c r="AO4" s="187"/>
      <c r="AP4" s="187"/>
      <c r="AQ4" s="187"/>
      <c r="AR4" s="187"/>
      <c r="AS4" s="187"/>
      <c r="AT4" s="187"/>
      <c r="AU4" s="187"/>
      <c r="AV4" s="187"/>
      <c r="AW4" s="187"/>
      <c r="AX4" s="187"/>
      <c r="AY4" s="189" t="s">
        <v>64</v>
      </c>
      <c r="AZ4" s="190" t="s">
        <v>65</v>
      </c>
      <c r="BA4" s="187"/>
      <c r="BB4" s="187"/>
      <c r="BC4" s="187"/>
      <c r="BD4" s="187"/>
      <c r="BE4" s="187"/>
      <c r="BJ4" s="191" t="s">
        <v>66</v>
      </c>
      <c r="BK4" s="192">
        <v>46160</v>
      </c>
      <c r="BL4" s="193" t="s">
        <v>67</v>
      </c>
    </row>
    <row r="5" spans="2:64" s="188" customFormat="1" ht="36" customHeight="1" x14ac:dyDescent="0.35">
      <c r="B5" s="194" t="s">
        <v>68</v>
      </c>
      <c r="C5" s="195" t="s">
        <v>11</v>
      </c>
      <c r="D5" s="194" t="s">
        <v>69</v>
      </c>
      <c r="E5" s="196"/>
      <c r="F5" s="197"/>
      <c r="G5" s="198"/>
      <c r="H5" s="199" t="s">
        <v>70</v>
      </c>
      <c r="I5" s="200"/>
      <c r="J5" s="201"/>
      <c r="K5" s="201"/>
      <c r="L5" s="201"/>
      <c r="M5" s="201"/>
      <c r="N5" s="201"/>
      <c r="O5" s="201"/>
      <c r="P5" s="202"/>
      <c r="Q5" s="203" t="s">
        <v>71</v>
      </c>
      <c r="R5" s="204"/>
      <c r="S5" s="204"/>
      <c r="T5" s="205"/>
      <c r="U5" s="206" t="s">
        <v>72</v>
      </c>
      <c r="V5" s="207"/>
      <c r="W5" s="207"/>
      <c r="X5" s="207"/>
      <c r="Y5" s="207"/>
      <c r="Z5" s="207"/>
      <c r="AA5" s="207"/>
      <c r="AB5" s="207"/>
      <c r="AC5" s="207"/>
      <c r="AD5" s="207"/>
      <c r="AE5" s="208"/>
      <c r="AF5" s="209" t="s">
        <v>73</v>
      </c>
      <c r="AG5" s="210"/>
      <c r="AH5" s="211"/>
      <c r="AI5" s="211"/>
      <c r="AJ5" s="212"/>
      <c r="AK5" s="209"/>
      <c r="AL5" s="211"/>
      <c r="AM5" s="211"/>
      <c r="AN5" s="211"/>
      <c r="AO5" s="211"/>
      <c r="AP5" s="211"/>
      <c r="AQ5" s="213"/>
      <c r="AR5" s="213"/>
      <c r="AS5" s="213"/>
      <c r="AT5" s="212"/>
      <c r="AU5" s="209"/>
      <c r="AV5" s="211"/>
      <c r="AW5" s="211"/>
      <c r="AX5" s="211"/>
      <c r="AY5" s="211"/>
      <c r="AZ5" s="212"/>
      <c r="BA5" s="206"/>
      <c r="BB5" s="207"/>
      <c r="BC5" s="207"/>
      <c r="BD5" s="207"/>
      <c r="BE5" s="207"/>
      <c r="BF5" s="208"/>
      <c r="BG5" s="209"/>
      <c r="BH5" s="211"/>
      <c r="BI5" s="211"/>
      <c r="BJ5" s="211"/>
      <c r="BK5" s="211"/>
      <c r="BL5" s="212"/>
    </row>
    <row r="6" spans="2:64" s="188" customFormat="1" ht="46" customHeight="1" x14ac:dyDescent="0.35">
      <c r="B6" s="214"/>
      <c r="C6" s="215"/>
      <c r="D6" s="214"/>
      <c r="E6" s="216" t="s">
        <v>74</v>
      </c>
      <c r="F6" s="216" t="s">
        <v>75</v>
      </c>
      <c r="G6" s="215" t="s">
        <v>76</v>
      </c>
      <c r="H6" s="217" t="s">
        <v>77</v>
      </c>
      <c r="I6" s="218"/>
      <c r="J6" s="219"/>
      <c r="K6" s="219"/>
      <c r="L6" s="219"/>
      <c r="M6" s="219"/>
      <c r="N6" s="219"/>
      <c r="O6" s="219"/>
      <c r="P6" s="220"/>
      <c r="Q6" s="221" t="s">
        <v>78</v>
      </c>
      <c r="R6" s="219"/>
      <c r="S6" s="219"/>
      <c r="T6" s="220"/>
      <c r="U6" s="222" t="s">
        <v>79</v>
      </c>
      <c r="V6" s="223"/>
      <c r="W6" s="223"/>
      <c r="X6" s="223"/>
      <c r="Y6" s="223"/>
      <c r="Z6" s="223"/>
      <c r="AA6" s="223"/>
      <c r="AB6" s="223"/>
      <c r="AC6" s="223"/>
      <c r="AD6" s="223"/>
      <c r="AE6" s="224"/>
      <c r="AF6" s="217" t="s">
        <v>80</v>
      </c>
      <c r="AG6" s="218"/>
      <c r="AH6" s="219"/>
      <c r="AI6" s="219"/>
      <c r="AJ6" s="220"/>
      <c r="AK6" s="217"/>
      <c r="AL6" s="219"/>
      <c r="AM6" s="219"/>
      <c r="AN6" s="219"/>
      <c r="AO6" s="219"/>
      <c r="AP6" s="219"/>
      <c r="AQ6" s="225"/>
      <c r="AR6" s="225"/>
      <c r="AS6" s="225"/>
      <c r="AT6" s="220"/>
      <c r="AU6" s="217"/>
      <c r="AV6" s="219"/>
      <c r="AW6" s="219"/>
      <c r="AX6" s="219"/>
      <c r="AY6" s="219"/>
      <c r="AZ6" s="220"/>
      <c r="BA6" s="222"/>
      <c r="BB6" s="223"/>
      <c r="BC6" s="223"/>
      <c r="BD6" s="223"/>
      <c r="BE6" s="223"/>
      <c r="BF6" s="224"/>
      <c r="BG6" s="217"/>
      <c r="BH6" s="219"/>
      <c r="BI6" s="219"/>
      <c r="BJ6" s="219"/>
      <c r="BK6" s="219"/>
      <c r="BL6" s="220"/>
    </row>
    <row r="7" spans="2:64" s="238" customFormat="1" ht="29.15" customHeight="1" x14ac:dyDescent="0.35">
      <c r="B7" s="214"/>
      <c r="C7" s="215"/>
      <c r="D7" s="214"/>
      <c r="E7" s="216"/>
      <c r="F7" s="216"/>
      <c r="G7" s="215"/>
      <c r="H7" s="226" t="s">
        <v>81</v>
      </c>
      <c r="I7" s="227"/>
      <c r="J7" s="228"/>
      <c r="K7" s="228"/>
      <c r="L7" s="228"/>
      <c r="M7" s="228"/>
      <c r="N7" s="229"/>
      <c r="O7" s="230"/>
      <c r="P7" s="231"/>
      <c r="Q7" s="227" t="s">
        <v>82</v>
      </c>
      <c r="R7" s="232"/>
      <c r="S7" s="230"/>
      <c r="T7" s="231"/>
      <c r="U7" s="233" t="s">
        <v>83</v>
      </c>
      <c r="V7" s="234"/>
      <c r="W7" s="227"/>
      <c r="X7" s="232"/>
      <c r="Y7" s="227"/>
      <c r="Z7" s="234"/>
      <c r="AA7" s="227"/>
      <c r="AB7" s="234"/>
      <c r="AC7" s="227"/>
      <c r="AD7" s="235"/>
      <c r="AE7" s="236"/>
      <c r="AF7" s="226" t="s">
        <v>84</v>
      </c>
      <c r="AG7" s="234"/>
      <c r="AH7" s="232"/>
      <c r="AI7" s="230"/>
      <c r="AJ7" s="231"/>
      <c r="AK7" s="226"/>
      <c r="AL7" s="228"/>
      <c r="AM7" s="227"/>
      <c r="AN7" s="228"/>
      <c r="AO7" s="228"/>
      <c r="AP7" s="228"/>
      <c r="AQ7" s="228"/>
      <c r="AR7" s="228"/>
      <c r="AS7" s="230"/>
      <c r="AT7" s="231"/>
      <c r="AU7" s="226"/>
      <c r="AV7" s="232"/>
      <c r="AW7" s="230"/>
      <c r="AX7" s="230"/>
      <c r="AY7" s="228"/>
      <c r="AZ7" s="229"/>
      <c r="BA7" s="233"/>
      <c r="BB7" s="227"/>
      <c r="BC7" s="232"/>
      <c r="BD7" s="227"/>
      <c r="BE7" s="237"/>
      <c r="BF7" s="236"/>
      <c r="BG7" s="226"/>
      <c r="BH7" s="232"/>
      <c r="BI7" s="228"/>
      <c r="BJ7" s="228"/>
      <c r="BK7" s="230"/>
      <c r="BL7" s="231"/>
    </row>
    <row r="8" spans="2:64" s="188" customFormat="1" ht="29.15" customHeight="1" x14ac:dyDescent="0.35">
      <c r="B8" s="214"/>
      <c r="C8" s="215"/>
      <c r="D8" s="214"/>
      <c r="E8" s="216"/>
      <c r="F8" s="216"/>
      <c r="G8" s="215"/>
      <c r="H8" s="239">
        <v>46161</v>
      </c>
      <c r="I8" s="240"/>
      <c r="J8" s="241"/>
      <c r="K8" s="241"/>
      <c r="L8" s="241"/>
      <c r="M8" s="241"/>
      <c r="N8" s="242"/>
      <c r="O8" s="243"/>
      <c r="P8" s="244"/>
      <c r="Q8" s="240">
        <v>46162</v>
      </c>
      <c r="R8" s="245"/>
      <c r="S8" s="243"/>
      <c r="T8" s="244"/>
      <c r="U8" s="246">
        <v>46167</v>
      </c>
      <c r="V8" s="247"/>
      <c r="W8" s="240"/>
      <c r="X8" s="245"/>
      <c r="Y8" s="240"/>
      <c r="Z8" s="247"/>
      <c r="AA8" s="240"/>
      <c r="AB8" s="247"/>
      <c r="AC8" s="240"/>
      <c r="AD8" s="248"/>
      <c r="AE8" s="249"/>
      <c r="AF8" s="239">
        <v>46179</v>
      </c>
      <c r="AG8" s="247"/>
      <c r="AH8" s="245"/>
      <c r="AI8" s="243"/>
      <c r="AJ8" s="244"/>
      <c r="AK8" s="239"/>
      <c r="AL8" s="241"/>
      <c r="AM8" s="240"/>
      <c r="AN8" s="241"/>
      <c r="AO8" s="241"/>
      <c r="AP8" s="241"/>
      <c r="AQ8" s="241"/>
      <c r="AR8" s="241"/>
      <c r="AS8" s="243"/>
      <c r="AT8" s="244"/>
      <c r="AU8" s="239"/>
      <c r="AV8" s="245"/>
      <c r="AW8" s="243"/>
      <c r="AX8" s="243"/>
      <c r="AY8" s="241"/>
      <c r="AZ8" s="242"/>
      <c r="BA8" s="222"/>
      <c r="BB8" s="218"/>
      <c r="BC8" s="225"/>
      <c r="BD8" s="218"/>
      <c r="BE8" s="250"/>
      <c r="BF8" s="251"/>
      <c r="BG8" s="239"/>
      <c r="BH8" s="245"/>
      <c r="BI8" s="241"/>
      <c r="BJ8" s="241"/>
      <c r="BK8" s="243"/>
      <c r="BL8" s="244"/>
    </row>
    <row r="9" spans="2:64" s="188" customFormat="1" ht="58" customHeight="1" x14ac:dyDescent="0.35">
      <c r="B9" s="214"/>
      <c r="C9" s="215"/>
      <c r="D9" s="214"/>
      <c r="E9" s="216"/>
      <c r="F9" s="216"/>
      <c r="G9" s="215"/>
      <c r="H9" s="252" t="s">
        <v>85</v>
      </c>
      <c r="I9" s="253"/>
      <c r="J9" s="254"/>
      <c r="K9" s="254"/>
      <c r="L9" s="254"/>
      <c r="M9" s="254"/>
      <c r="N9" s="255"/>
      <c r="O9" s="256"/>
      <c r="P9" s="257"/>
      <c r="Q9" s="253" t="s">
        <v>85</v>
      </c>
      <c r="R9" s="254"/>
      <c r="S9" s="256"/>
      <c r="T9" s="257"/>
      <c r="U9" s="258" t="s">
        <v>86</v>
      </c>
      <c r="V9" s="259"/>
      <c r="W9" s="253"/>
      <c r="X9" s="260"/>
      <c r="Y9" s="253"/>
      <c r="Z9" s="259"/>
      <c r="AA9" s="253"/>
      <c r="AB9" s="259"/>
      <c r="AC9" s="253"/>
      <c r="AD9" s="261"/>
      <c r="AE9" s="262"/>
      <c r="AF9" s="252" t="s">
        <v>86</v>
      </c>
      <c r="AG9" s="253"/>
      <c r="AH9" s="254"/>
      <c r="AI9" s="256"/>
      <c r="AJ9" s="257"/>
      <c r="AK9" s="252"/>
      <c r="AL9" s="254"/>
      <c r="AM9" s="253"/>
      <c r="AN9" s="260"/>
      <c r="AO9" s="254"/>
      <c r="AP9" s="254"/>
      <c r="AQ9" s="253"/>
      <c r="AR9" s="254"/>
      <c r="AS9" s="263"/>
      <c r="AT9" s="257"/>
      <c r="AU9" s="252"/>
      <c r="AV9" s="260"/>
      <c r="AW9" s="256"/>
      <c r="AX9" s="256"/>
      <c r="AY9" s="254"/>
      <c r="AZ9" s="255"/>
      <c r="BA9" s="264"/>
      <c r="BB9" s="265"/>
      <c r="BC9" s="266"/>
      <c r="BD9" s="265"/>
      <c r="BE9" s="267"/>
      <c r="BF9" s="268"/>
      <c r="BG9" s="269"/>
      <c r="BH9" s="270"/>
      <c r="BI9" s="271"/>
      <c r="BJ9" s="271"/>
      <c r="BK9" s="256"/>
      <c r="BL9" s="272"/>
    </row>
    <row r="10" spans="2:64" s="275" customFormat="1" ht="31.5" customHeight="1" x14ac:dyDescent="0.35">
      <c r="B10" s="214"/>
      <c r="C10" s="215"/>
      <c r="D10" s="214"/>
      <c r="E10" s="216"/>
      <c r="F10" s="216"/>
      <c r="G10" s="215"/>
      <c r="H10" s="252"/>
      <c r="I10" s="253"/>
      <c r="J10" s="254"/>
      <c r="K10" s="254"/>
      <c r="L10" s="254"/>
      <c r="M10" s="254"/>
      <c r="N10" s="255"/>
      <c r="O10" s="256"/>
      <c r="P10" s="257"/>
      <c r="Q10" s="259"/>
      <c r="R10" s="259"/>
      <c r="S10" s="273"/>
      <c r="T10" s="262"/>
      <c r="U10" s="258"/>
      <c r="V10" s="259"/>
      <c r="W10" s="253"/>
      <c r="X10" s="260"/>
      <c r="Y10" s="253"/>
      <c r="Z10" s="260"/>
      <c r="AA10" s="253"/>
      <c r="AB10" s="260"/>
      <c r="AC10" s="253"/>
      <c r="AD10" s="273"/>
      <c r="AE10" s="262"/>
      <c r="AF10" s="258"/>
      <c r="AG10" s="259"/>
      <c r="AH10" s="259"/>
      <c r="AI10" s="273"/>
      <c r="AJ10" s="262"/>
      <c r="AK10" s="258"/>
      <c r="AL10" s="253"/>
      <c r="AM10" s="259"/>
      <c r="AN10" s="253"/>
      <c r="AO10" s="260"/>
      <c r="AP10" s="253"/>
      <c r="AQ10" s="260"/>
      <c r="AR10" s="253"/>
      <c r="AS10" s="273"/>
      <c r="AT10" s="262"/>
      <c r="AU10" s="258"/>
      <c r="AV10" s="259"/>
      <c r="AW10" s="273"/>
      <c r="AX10" s="263"/>
      <c r="AY10" s="260"/>
      <c r="AZ10" s="274"/>
      <c r="BA10" s="258"/>
      <c r="BB10" s="259"/>
      <c r="BC10" s="260"/>
      <c r="BD10" s="253"/>
      <c r="BE10" s="273"/>
      <c r="BF10" s="262"/>
      <c r="BG10" s="258"/>
      <c r="BH10" s="259"/>
      <c r="BI10" s="260"/>
      <c r="BJ10" s="253"/>
      <c r="BK10" s="273"/>
      <c r="BL10" s="262"/>
    </row>
    <row r="11" spans="2:64" s="275" customFormat="1" ht="31.5" customHeight="1" x14ac:dyDescent="0.35">
      <c r="B11" s="276"/>
      <c r="C11" s="277"/>
      <c r="D11" s="276"/>
      <c r="E11" s="278"/>
      <c r="F11" s="278"/>
      <c r="G11" s="277"/>
      <c r="H11" s="279" t="s">
        <v>87</v>
      </c>
      <c r="I11" s="280" t="s">
        <v>88</v>
      </c>
      <c r="J11" s="281" t="s">
        <v>89</v>
      </c>
      <c r="K11" s="281" t="s">
        <v>90</v>
      </c>
      <c r="L11" s="281" t="s">
        <v>91</v>
      </c>
      <c r="M11" s="281" t="s">
        <v>90</v>
      </c>
      <c r="N11" s="282" t="s">
        <v>91</v>
      </c>
      <c r="O11" s="283" t="s">
        <v>90</v>
      </c>
      <c r="P11" s="284" t="s">
        <v>91</v>
      </c>
      <c r="Q11" s="280" t="s">
        <v>87</v>
      </c>
      <c r="R11" s="285" t="s">
        <v>89</v>
      </c>
      <c r="S11" s="286" t="s">
        <v>90</v>
      </c>
      <c r="T11" s="284" t="s">
        <v>91</v>
      </c>
      <c r="U11" s="279" t="s">
        <v>87</v>
      </c>
      <c r="V11" s="280"/>
      <c r="W11" s="281" t="s">
        <v>89</v>
      </c>
      <c r="X11" s="281" t="s">
        <v>90</v>
      </c>
      <c r="Y11" s="281" t="s">
        <v>91</v>
      </c>
      <c r="Z11" s="280" t="s">
        <v>92</v>
      </c>
      <c r="AA11" s="281" t="s">
        <v>93</v>
      </c>
      <c r="AB11" s="280" t="s">
        <v>92</v>
      </c>
      <c r="AC11" s="281" t="s">
        <v>93</v>
      </c>
      <c r="AD11" s="287" t="s">
        <v>92</v>
      </c>
      <c r="AE11" s="284" t="s">
        <v>93</v>
      </c>
      <c r="AF11" s="279" t="s">
        <v>87</v>
      </c>
      <c r="AG11" s="288"/>
      <c r="AH11" s="285" t="s">
        <v>89</v>
      </c>
      <c r="AI11" s="286" t="s">
        <v>90</v>
      </c>
      <c r="AJ11" s="284" t="s">
        <v>91</v>
      </c>
      <c r="AK11" s="279" t="s">
        <v>87</v>
      </c>
      <c r="AL11" s="281" t="s">
        <v>89</v>
      </c>
      <c r="AM11" s="280" t="s">
        <v>90</v>
      </c>
      <c r="AN11" s="281" t="s">
        <v>91</v>
      </c>
      <c r="AO11" s="280" t="s">
        <v>92</v>
      </c>
      <c r="AP11" s="281" t="s">
        <v>93</v>
      </c>
      <c r="AQ11" s="281" t="s">
        <v>94</v>
      </c>
      <c r="AR11" s="281" t="s">
        <v>95</v>
      </c>
      <c r="AS11" s="283" t="s">
        <v>94</v>
      </c>
      <c r="AT11" s="284" t="s">
        <v>95</v>
      </c>
      <c r="AU11" s="279" t="s">
        <v>87</v>
      </c>
      <c r="AV11" s="285" t="s">
        <v>89</v>
      </c>
      <c r="AW11" s="286" t="s">
        <v>90</v>
      </c>
      <c r="AX11" s="289" t="s">
        <v>91</v>
      </c>
      <c r="AY11" s="279" t="s">
        <v>90</v>
      </c>
      <c r="AZ11" s="282" t="s">
        <v>91</v>
      </c>
      <c r="BA11" s="279" t="s">
        <v>87</v>
      </c>
      <c r="BB11" s="281" t="s">
        <v>89</v>
      </c>
      <c r="BC11" s="281" t="s">
        <v>90</v>
      </c>
      <c r="BD11" s="281" t="s">
        <v>91</v>
      </c>
      <c r="BE11" s="283" t="s">
        <v>92</v>
      </c>
      <c r="BF11" s="284" t="s">
        <v>93</v>
      </c>
      <c r="BG11" s="279" t="s">
        <v>87</v>
      </c>
      <c r="BH11" s="285" t="s">
        <v>89</v>
      </c>
      <c r="BI11" s="279" t="s">
        <v>90</v>
      </c>
      <c r="BJ11" s="285" t="s">
        <v>91</v>
      </c>
      <c r="BK11" s="279" t="s">
        <v>92</v>
      </c>
      <c r="BL11" s="282" t="s">
        <v>93</v>
      </c>
    </row>
    <row r="12" spans="2:64" s="188" customFormat="1" ht="32.25" customHeight="1" x14ac:dyDescent="0.35">
      <c r="B12" s="290"/>
      <c r="C12" s="291" t="s">
        <v>96</v>
      </c>
      <c r="D12" s="290"/>
      <c r="E12" s="292"/>
      <c r="F12" s="293"/>
      <c r="G12" s="294"/>
      <c r="H12" s="295"/>
      <c r="I12" s="296"/>
      <c r="J12" s="297"/>
      <c r="K12" s="297"/>
      <c r="L12" s="297"/>
      <c r="M12" s="297"/>
      <c r="N12" s="298"/>
      <c r="O12" s="297"/>
      <c r="P12" s="298"/>
      <c r="Q12" s="296"/>
      <c r="R12" s="294"/>
      <c r="S12" s="297"/>
      <c r="T12" s="298"/>
      <c r="U12" s="295"/>
      <c r="V12" s="296"/>
      <c r="W12" s="297"/>
      <c r="X12" s="294"/>
      <c r="Y12" s="297"/>
      <c r="Z12" s="294"/>
      <c r="AA12" s="297"/>
      <c r="AB12" s="294"/>
      <c r="AC12" s="297"/>
      <c r="AD12" s="294"/>
      <c r="AE12" s="298"/>
      <c r="AF12" s="295"/>
      <c r="AG12" s="299"/>
      <c r="AH12" s="294"/>
      <c r="AI12" s="297"/>
      <c r="AJ12" s="298"/>
      <c r="AK12" s="295"/>
      <c r="AL12" s="297"/>
      <c r="AM12" s="296"/>
      <c r="AN12" s="297"/>
      <c r="AO12" s="297"/>
      <c r="AP12" s="297"/>
      <c r="AQ12" s="297"/>
      <c r="AR12" s="297"/>
      <c r="AS12" s="297"/>
      <c r="AT12" s="298"/>
      <c r="AU12" s="295"/>
      <c r="AV12" s="294"/>
      <c r="AW12" s="297"/>
      <c r="AX12" s="294"/>
      <c r="AY12" s="297"/>
      <c r="AZ12" s="298"/>
      <c r="BA12" s="295"/>
      <c r="BB12" s="294"/>
      <c r="BC12" s="296"/>
      <c r="BD12" s="294"/>
      <c r="BE12" s="297"/>
      <c r="BF12" s="298"/>
      <c r="BG12" s="295"/>
      <c r="BH12" s="294"/>
      <c r="BI12" s="297"/>
      <c r="BJ12" s="294"/>
      <c r="BK12" s="297" t="s">
        <v>97</v>
      </c>
      <c r="BL12" s="298"/>
    </row>
    <row r="13" spans="2:64" s="188" customFormat="1" ht="41.5" customHeight="1" x14ac:dyDescent="0.35">
      <c r="B13" s="300" t="str">
        <f>IF(ISBLANK($E13)," ",IF(AND(COUNTA(E$8:$E13)+64&gt;72,COUNTA(E$8:$E13)+64&lt;78),CHAR(COUNTA(E$8:$E13)+65),IF(COUNTA(E$8:$E13)+64&gt;77,CHAR(COUNTA(E$8:$E13)+66),CHAR(COUNTA(E$8:$E13)+64))))</f>
        <v xml:space="preserve"> </v>
      </c>
      <c r="C13" s="301" t="s">
        <v>98</v>
      </c>
      <c r="D13" s="302"/>
      <c r="E13" s="303"/>
      <c r="F13" s="304"/>
      <c r="G13" s="305"/>
      <c r="H13" s="306"/>
      <c r="I13" s="307"/>
      <c r="J13" s="308"/>
      <c r="K13" s="308"/>
      <c r="L13" s="308"/>
      <c r="M13" s="308"/>
      <c r="N13" s="309"/>
      <c r="O13" s="310"/>
      <c r="P13" s="311"/>
      <c r="Q13" s="307"/>
      <c r="R13" s="312"/>
      <c r="S13" s="310"/>
      <c r="T13" s="311"/>
      <c r="U13" s="306"/>
      <c r="V13" s="307"/>
      <c r="W13" s="308"/>
      <c r="X13" s="307"/>
      <c r="Y13" s="308"/>
      <c r="Z13" s="307"/>
      <c r="AA13" s="308"/>
      <c r="AB13" s="307"/>
      <c r="AC13" s="308"/>
      <c r="AD13" s="313"/>
      <c r="AE13" s="311"/>
      <c r="AF13" s="306"/>
      <c r="AG13" s="314"/>
      <c r="AH13" s="312"/>
      <c r="AI13" s="310"/>
      <c r="AJ13" s="311"/>
      <c r="AK13" s="306"/>
      <c r="AL13" s="308"/>
      <c r="AM13" s="307"/>
      <c r="AN13" s="308"/>
      <c r="AO13" s="308"/>
      <c r="AP13" s="308"/>
      <c r="AQ13" s="308"/>
      <c r="AR13" s="308"/>
      <c r="AS13" s="310"/>
      <c r="AT13" s="311"/>
      <c r="AU13" s="306"/>
      <c r="AV13" s="312"/>
      <c r="AW13" s="310"/>
      <c r="AX13" s="310"/>
      <c r="AY13" s="308"/>
      <c r="AZ13" s="309"/>
      <c r="BA13" s="306"/>
      <c r="BB13" s="312"/>
      <c r="BC13" s="308"/>
      <c r="BD13" s="308"/>
      <c r="BE13" s="310"/>
      <c r="BF13" s="311"/>
      <c r="BG13" s="306"/>
      <c r="BH13" s="312"/>
      <c r="BI13" s="308"/>
      <c r="BJ13" s="308"/>
      <c r="BK13" s="310"/>
      <c r="BL13" s="311"/>
    </row>
    <row r="14" spans="2:64" s="188" customFormat="1" ht="143.5" customHeight="1" x14ac:dyDescent="0.35">
      <c r="B14" s="300" t="str">
        <f>IF(ISBLANK($E14)," ",IF(AND(COUNTA(E$8:$E14)+64&gt;72,COUNTA(E$8:$E14)+64&lt;78),CHAR(COUNTA(E$8:$E14)+65),IF(COUNTA(E$8:$E14)+64&gt;77,CHAR(COUNTA(E$8:$E14)+66),CHAR(COUNTA(E$8:$E14)+64))))</f>
        <v xml:space="preserve"> </v>
      </c>
      <c r="C14" s="301" t="s">
        <v>99</v>
      </c>
      <c r="D14" s="302"/>
      <c r="E14" s="303"/>
      <c r="F14" s="304"/>
      <c r="G14" s="305"/>
      <c r="H14" s="306"/>
      <c r="I14" s="307"/>
      <c r="J14" s="308"/>
      <c r="K14" s="308"/>
      <c r="L14" s="308"/>
      <c r="M14" s="308"/>
      <c r="N14" s="309"/>
      <c r="O14" s="310"/>
      <c r="P14" s="311"/>
      <c r="Q14" s="307"/>
      <c r="R14" s="312"/>
      <c r="S14" s="310"/>
      <c r="T14" s="311"/>
      <c r="U14" s="306"/>
      <c r="V14" s="307"/>
      <c r="W14" s="308"/>
      <c r="X14" s="307"/>
      <c r="Y14" s="308"/>
      <c r="Z14" s="307"/>
      <c r="AA14" s="308"/>
      <c r="AB14" s="307"/>
      <c r="AC14" s="308"/>
      <c r="AD14" s="313"/>
      <c r="AE14" s="311"/>
      <c r="AF14" s="306"/>
      <c r="AG14" s="314"/>
      <c r="AH14" s="312"/>
      <c r="AI14" s="310"/>
      <c r="AJ14" s="311"/>
      <c r="AK14" s="306"/>
      <c r="AL14" s="308"/>
      <c r="AM14" s="307"/>
      <c r="AN14" s="308"/>
      <c r="AO14" s="308"/>
      <c r="AP14" s="308"/>
      <c r="AQ14" s="308"/>
      <c r="AR14" s="308"/>
      <c r="AS14" s="310"/>
      <c r="AT14" s="311"/>
      <c r="AU14" s="306"/>
      <c r="AV14" s="312"/>
      <c r="AW14" s="310"/>
      <c r="AX14" s="310"/>
      <c r="AY14" s="308"/>
      <c r="AZ14" s="309"/>
      <c r="BA14" s="306"/>
      <c r="BB14" s="312"/>
      <c r="BC14" s="308"/>
      <c r="BD14" s="308"/>
      <c r="BE14" s="310"/>
      <c r="BF14" s="311"/>
      <c r="BG14" s="306"/>
      <c r="BH14" s="312"/>
      <c r="BI14" s="308"/>
      <c r="BJ14" s="308"/>
      <c r="BK14" s="310"/>
      <c r="BL14" s="311"/>
    </row>
    <row r="15" spans="2:64" s="188" customFormat="1" ht="41" customHeight="1" x14ac:dyDescent="0.35">
      <c r="B15" s="300" t="str">
        <f>IF(ISBLANK($E15)," ",IF(AND(COUNTA(E$8:$E15)+64&gt;72,COUNTA(E$8:$E15)+64&lt;78),CHAR(COUNTA(E$8:$E15)+65),IF(COUNTA(E$8:$E15)+64&gt;77,CHAR(COUNTA(E$8:$E15)+66),CHAR(COUNTA(E$8:$E15)+64))))</f>
        <v xml:space="preserve"> </v>
      </c>
      <c r="C15" s="301" t="s">
        <v>100</v>
      </c>
      <c r="D15" s="302"/>
      <c r="E15" s="303"/>
      <c r="F15" s="304"/>
      <c r="G15" s="305"/>
      <c r="H15" s="306"/>
      <c r="I15" s="307"/>
      <c r="J15" s="308"/>
      <c r="K15" s="308"/>
      <c r="L15" s="308"/>
      <c r="M15" s="308"/>
      <c r="N15" s="309"/>
      <c r="O15" s="310"/>
      <c r="P15" s="311"/>
      <c r="Q15" s="307"/>
      <c r="R15" s="312"/>
      <c r="S15" s="310"/>
      <c r="T15" s="311"/>
      <c r="U15" s="306"/>
      <c r="V15" s="307"/>
      <c r="W15" s="308"/>
      <c r="X15" s="307"/>
      <c r="Y15" s="308"/>
      <c r="Z15" s="307"/>
      <c r="AA15" s="308"/>
      <c r="AB15" s="307"/>
      <c r="AC15" s="308"/>
      <c r="AD15" s="313"/>
      <c r="AE15" s="311"/>
      <c r="AF15" s="306"/>
      <c r="AG15" s="314"/>
      <c r="AH15" s="312"/>
      <c r="AI15" s="310"/>
      <c r="AJ15" s="311"/>
      <c r="AK15" s="306"/>
      <c r="AL15" s="308"/>
      <c r="AM15" s="307"/>
      <c r="AN15" s="308"/>
      <c r="AO15" s="308"/>
      <c r="AP15" s="308"/>
      <c r="AQ15" s="308"/>
      <c r="AR15" s="308"/>
      <c r="AS15" s="310"/>
      <c r="AT15" s="311"/>
      <c r="AU15" s="306"/>
      <c r="AV15" s="312"/>
      <c r="AW15" s="310"/>
      <c r="AX15" s="310"/>
      <c r="AY15" s="308"/>
      <c r="AZ15" s="309"/>
      <c r="BA15" s="306"/>
      <c r="BB15" s="312"/>
      <c r="BC15" s="308"/>
      <c r="BD15" s="308"/>
      <c r="BE15" s="310"/>
      <c r="BF15" s="311"/>
      <c r="BG15" s="306"/>
      <c r="BH15" s="312"/>
      <c r="BI15" s="308"/>
      <c r="BJ15" s="308"/>
      <c r="BK15" s="310"/>
      <c r="BL15" s="311"/>
    </row>
    <row r="16" spans="2:64" s="188" customFormat="1" ht="37" customHeight="1" x14ac:dyDescent="0.35">
      <c r="B16" s="300" t="str">
        <f>IF(ISBLANK($E16)," ",IF(AND(COUNTA(E$8:$E16)+64&gt;72,COUNTA(E$8:$E16)+64&lt;78),CHAR(COUNTA(E$8:$E16)+65),IF(COUNTA(E$8:$E16)+64&gt;77,CHAR(COUNTA(E$8:$E16)+66),CHAR(COUNTA(E$8:$E16)+64))))</f>
        <v xml:space="preserve"> </v>
      </c>
      <c r="C16" s="301" t="s">
        <v>96</v>
      </c>
      <c r="D16" s="302"/>
      <c r="E16" s="303"/>
      <c r="F16" s="304"/>
      <c r="G16" s="305"/>
      <c r="H16" s="306"/>
      <c r="I16" s="307"/>
      <c r="J16" s="308"/>
      <c r="K16" s="308"/>
      <c r="L16" s="308"/>
      <c r="M16" s="308"/>
      <c r="N16" s="309"/>
      <c r="O16" s="310"/>
      <c r="P16" s="311"/>
      <c r="Q16" s="307"/>
      <c r="R16" s="312"/>
      <c r="S16" s="310"/>
      <c r="T16" s="311"/>
      <c r="U16" s="306"/>
      <c r="V16" s="307"/>
      <c r="W16" s="308"/>
      <c r="X16" s="307"/>
      <c r="Y16" s="308"/>
      <c r="Z16" s="307"/>
      <c r="AA16" s="308"/>
      <c r="AB16" s="307"/>
      <c r="AC16" s="308"/>
      <c r="AD16" s="313"/>
      <c r="AE16" s="311"/>
      <c r="AF16" s="306"/>
      <c r="AG16" s="314"/>
      <c r="AH16" s="312"/>
      <c r="AI16" s="310"/>
      <c r="AJ16" s="311"/>
      <c r="AK16" s="306"/>
      <c r="AL16" s="308"/>
      <c r="AM16" s="307"/>
      <c r="AN16" s="308"/>
      <c r="AO16" s="308"/>
      <c r="AP16" s="308"/>
      <c r="AQ16" s="308"/>
      <c r="AR16" s="308"/>
      <c r="AS16" s="310"/>
      <c r="AT16" s="311"/>
      <c r="AU16" s="306"/>
      <c r="AV16" s="312"/>
      <c r="AW16" s="310"/>
      <c r="AX16" s="310"/>
      <c r="AY16" s="308"/>
      <c r="AZ16" s="309"/>
      <c r="BA16" s="306"/>
      <c r="BB16" s="312"/>
      <c r="BC16" s="308"/>
      <c r="BD16" s="308"/>
      <c r="BE16" s="310"/>
      <c r="BF16" s="311"/>
      <c r="BG16" s="306"/>
      <c r="BH16" s="312"/>
      <c r="BI16" s="308"/>
      <c r="BJ16" s="308"/>
      <c r="BK16" s="310"/>
      <c r="BL16" s="311"/>
    </row>
    <row r="17" spans="2:64" s="188" customFormat="1" ht="180.5" customHeight="1" x14ac:dyDescent="0.35">
      <c r="B17" s="300"/>
      <c r="C17" s="301" t="s">
        <v>101</v>
      </c>
      <c r="D17" s="302"/>
      <c r="E17" s="303"/>
      <c r="F17" s="304"/>
      <c r="G17" s="305"/>
      <c r="H17" s="306"/>
      <c r="I17" s="307"/>
      <c r="J17" s="308"/>
      <c r="K17" s="308"/>
      <c r="L17" s="308"/>
      <c r="M17" s="308"/>
      <c r="N17" s="309"/>
      <c r="O17" s="310"/>
      <c r="P17" s="311"/>
      <c r="Q17" s="307"/>
      <c r="R17" s="312"/>
      <c r="S17" s="310"/>
      <c r="T17" s="311"/>
      <c r="U17" s="306"/>
      <c r="V17" s="307"/>
      <c r="W17" s="308"/>
      <c r="X17" s="307"/>
      <c r="Y17" s="308"/>
      <c r="Z17" s="307"/>
      <c r="AA17" s="308"/>
      <c r="AB17" s="307"/>
      <c r="AC17" s="308"/>
      <c r="AD17" s="313"/>
      <c r="AE17" s="311"/>
      <c r="AF17" s="306"/>
      <c r="AG17" s="314"/>
      <c r="AH17" s="312"/>
      <c r="AI17" s="310"/>
      <c r="AJ17" s="311"/>
      <c r="AK17" s="306"/>
      <c r="AL17" s="308"/>
      <c r="AM17" s="307"/>
      <c r="AN17" s="308"/>
      <c r="AO17" s="308"/>
      <c r="AP17" s="308"/>
      <c r="AQ17" s="308"/>
      <c r="AR17" s="308"/>
      <c r="AS17" s="310"/>
      <c r="AT17" s="311"/>
      <c r="AU17" s="306"/>
      <c r="AV17" s="312"/>
      <c r="AW17" s="310"/>
      <c r="AX17" s="310"/>
      <c r="AY17" s="308"/>
      <c r="AZ17" s="309"/>
      <c r="BA17" s="306"/>
      <c r="BB17" s="312"/>
      <c r="BC17" s="308"/>
      <c r="BD17" s="308"/>
      <c r="BE17" s="310"/>
      <c r="BF17" s="311"/>
      <c r="BG17" s="306"/>
      <c r="BH17" s="312"/>
      <c r="BI17" s="308"/>
      <c r="BJ17" s="308"/>
      <c r="BK17" s="310"/>
      <c r="BL17" s="311"/>
    </row>
    <row r="18" spans="2:64" s="188" customFormat="1" ht="37" customHeight="1" x14ac:dyDescent="0.35">
      <c r="B18" s="300" t="str">
        <f>IF(ISBLANK($E18)," ",IF(AND(COUNTA(E$8:$E18)+64&gt;72,COUNTA(E$8:$E18)+64&lt;78),CHAR(COUNTA(E$8:$E18)+65),IF(COUNTA(E$8:$E18)+64&gt;77,CHAR(COUNTA(E$8:$E18)+66),CHAR(COUNTA(E$8:$E18)+64))))</f>
        <v>A</v>
      </c>
      <c r="C18" s="315" t="s">
        <v>102</v>
      </c>
      <c r="D18" s="302" t="s">
        <v>103</v>
      </c>
      <c r="E18" s="303">
        <v>5</v>
      </c>
      <c r="F18" s="304">
        <v>217.8</v>
      </c>
      <c r="G18" s="305">
        <v>1607.3639999999991</v>
      </c>
      <c r="H18" s="306">
        <v>534</v>
      </c>
      <c r="I18" s="307">
        <v>5</v>
      </c>
      <c r="J18" s="308">
        <f>H18*$I18</f>
        <v>2670</v>
      </c>
      <c r="K18" s="308"/>
      <c r="L18" s="308">
        <f t="shared" ref="L18:L39" si="0">K18*$E18</f>
        <v>0</v>
      </c>
      <c r="M18" s="308"/>
      <c r="N18" s="309">
        <f t="shared" ref="N18:N39" si="1">M18*$E18</f>
        <v>0</v>
      </c>
      <c r="O18" s="310"/>
      <c r="P18" s="311">
        <f t="shared" ref="P18:P39" si="2">O18*$E18</f>
        <v>0</v>
      </c>
      <c r="Q18" s="310">
        <v>280</v>
      </c>
      <c r="R18" s="311">
        <f t="shared" ref="R18:R52" si="3">Q18*$E18</f>
        <v>1400</v>
      </c>
      <c r="S18" s="310"/>
      <c r="T18" s="311">
        <f t="shared" ref="T18:T52" si="4">S18*$E18</f>
        <v>0</v>
      </c>
      <c r="U18" s="306">
        <v>274</v>
      </c>
      <c r="V18" s="307">
        <v>177</v>
      </c>
      <c r="W18" s="308">
        <f>V18*U18</f>
        <v>48498</v>
      </c>
      <c r="X18" s="307"/>
      <c r="Y18" s="308">
        <f t="shared" ref="Y18:Y39" si="5">X18*$E18</f>
        <v>0</v>
      </c>
      <c r="Z18" s="307"/>
      <c r="AA18" s="308">
        <f t="shared" ref="AA18:AA39" si="6">Z18*$E18</f>
        <v>0</v>
      </c>
      <c r="AB18" s="307"/>
      <c r="AC18" s="308">
        <f t="shared" ref="AC18:AC39" si="7">AB18*$E18</f>
        <v>0</v>
      </c>
      <c r="AD18" s="313"/>
      <c r="AE18" s="311">
        <f t="shared" ref="AE18:AE39" si="8">AD18*$E18</f>
        <v>0</v>
      </c>
      <c r="AF18" s="306">
        <v>226</v>
      </c>
      <c r="AG18" s="314">
        <v>178</v>
      </c>
      <c r="AH18" s="312">
        <f t="shared" ref="AH18:AH49" si="9">AF18*$AG18</f>
        <v>40228</v>
      </c>
      <c r="AI18" s="310"/>
      <c r="AJ18" s="311">
        <f t="shared" ref="AJ18:AJ39" si="10">AI18*$E18</f>
        <v>0</v>
      </c>
      <c r="AK18" s="306"/>
      <c r="AL18" s="308">
        <f t="shared" ref="AL18:AL39" si="11">AK18*$E18</f>
        <v>0</v>
      </c>
      <c r="AM18" s="307"/>
      <c r="AN18" s="308">
        <f t="shared" ref="AN18:AN39" si="12">AM18*$E18</f>
        <v>0</v>
      </c>
      <c r="AO18" s="308"/>
      <c r="AP18" s="308">
        <f t="shared" ref="AP18:AP39" si="13">AO18*$E18</f>
        <v>0</v>
      </c>
      <c r="AQ18" s="308"/>
      <c r="AR18" s="308">
        <f t="shared" ref="AR18:AR39" si="14">AQ18*$E18</f>
        <v>0</v>
      </c>
      <c r="AS18" s="310"/>
      <c r="AT18" s="311">
        <f t="shared" ref="AT18:AT39" si="15">AS18*$E18</f>
        <v>0</v>
      </c>
      <c r="AU18" s="306"/>
      <c r="AV18" s="312">
        <f t="shared" ref="AV18:AV39" si="16">AU18*$E18</f>
        <v>0</v>
      </c>
      <c r="AW18" s="310"/>
      <c r="AX18" s="310">
        <f t="shared" ref="AX18:AX39" si="17">AW18*$E18</f>
        <v>0</v>
      </c>
      <c r="AY18" s="308"/>
      <c r="AZ18" s="309">
        <f t="shared" ref="AZ18:AZ39" si="18">AY18*$E18</f>
        <v>0</v>
      </c>
      <c r="BA18" s="306"/>
      <c r="BB18" s="312">
        <f t="shared" ref="BB18:BB39" si="19">BA18*$E18</f>
        <v>0</v>
      </c>
      <c r="BC18" s="308"/>
      <c r="BD18" s="308">
        <f t="shared" ref="BD18:BD39" si="20">BC18*$E18</f>
        <v>0</v>
      </c>
      <c r="BE18" s="310"/>
      <c r="BF18" s="311">
        <f t="shared" ref="BF18:BF39" si="21">BE18*$E18</f>
        <v>0</v>
      </c>
      <c r="BG18" s="306"/>
      <c r="BH18" s="312">
        <f t="shared" ref="BH18:BH39" si="22">BG18*$E18</f>
        <v>0</v>
      </c>
      <c r="BI18" s="308"/>
      <c r="BJ18" s="308">
        <f t="shared" ref="BJ18:BJ39" si="23">BI18*$E18</f>
        <v>0</v>
      </c>
      <c r="BK18" s="310"/>
      <c r="BL18" s="311">
        <f t="shared" ref="BL18:BL39" si="24">BK18*$E18</f>
        <v>0</v>
      </c>
    </row>
    <row r="19" spans="2:64" s="188" customFormat="1" ht="37" customHeight="1" x14ac:dyDescent="0.35">
      <c r="B19" s="300" t="str">
        <f>IF(ISBLANK($E19)," ",IF(AND(COUNTA(E$8:$E19)+64&gt;72,COUNTA(E$8:$E19)+64&lt;78),CHAR(COUNTA(E$8:$E19)+65),IF(COUNTA(E$8:$E19)+64&gt;77,CHAR(COUNTA(E$8:$E19)+66),CHAR(COUNTA(E$8:$E19)+64))))</f>
        <v>B</v>
      </c>
      <c r="C19" s="315" t="s">
        <v>104</v>
      </c>
      <c r="D19" s="302" t="s">
        <v>103</v>
      </c>
      <c r="E19" s="303">
        <v>2</v>
      </c>
      <c r="F19" s="304">
        <v>217.8</v>
      </c>
      <c r="G19" s="305">
        <v>1960.2</v>
      </c>
      <c r="H19" s="306">
        <v>534</v>
      </c>
      <c r="I19" s="307">
        <v>2</v>
      </c>
      <c r="J19" s="308">
        <f t="shared" ref="J19:J59" si="25">H19*$I19</f>
        <v>1068</v>
      </c>
      <c r="K19" s="308"/>
      <c r="L19" s="308">
        <f t="shared" si="0"/>
        <v>0</v>
      </c>
      <c r="M19" s="308"/>
      <c r="N19" s="309">
        <f t="shared" si="1"/>
        <v>0</v>
      </c>
      <c r="O19" s="310"/>
      <c r="P19" s="311">
        <f t="shared" si="2"/>
        <v>0</v>
      </c>
      <c r="Q19" s="310">
        <v>245</v>
      </c>
      <c r="R19" s="311">
        <f t="shared" si="3"/>
        <v>490</v>
      </c>
      <c r="S19" s="310"/>
      <c r="T19" s="311">
        <f t="shared" si="4"/>
        <v>0</v>
      </c>
      <c r="U19" s="306">
        <v>274</v>
      </c>
      <c r="V19" s="307">
        <v>9</v>
      </c>
      <c r="W19" s="308">
        <f t="shared" ref="W19:W58" si="26">V19*U19</f>
        <v>2466</v>
      </c>
      <c r="X19" s="307"/>
      <c r="Y19" s="308">
        <f t="shared" si="5"/>
        <v>0</v>
      </c>
      <c r="Z19" s="307"/>
      <c r="AA19" s="308">
        <f t="shared" si="6"/>
        <v>0</v>
      </c>
      <c r="AB19" s="307"/>
      <c r="AC19" s="308">
        <f t="shared" si="7"/>
        <v>0</v>
      </c>
      <c r="AD19" s="313"/>
      <c r="AE19" s="311">
        <f t="shared" si="8"/>
        <v>0</v>
      </c>
      <c r="AF19" s="306">
        <v>226</v>
      </c>
      <c r="AG19" s="314">
        <v>2</v>
      </c>
      <c r="AH19" s="312">
        <f t="shared" si="9"/>
        <v>452</v>
      </c>
      <c r="AI19" s="310"/>
      <c r="AJ19" s="311">
        <f t="shared" si="10"/>
        <v>0</v>
      </c>
      <c r="AK19" s="306"/>
      <c r="AL19" s="308">
        <f t="shared" si="11"/>
        <v>0</v>
      </c>
      <c r="AM19" s="307"/>
      <c r="AN19" s="308">
        <f t="shared" si="12"/>
        <v>0</v>
      </c>
      <c r="AO19" s="308"/>
      <c r="AP19" s="308">
        <f t="shared" si="13"/>
        <v>0</v>
      </c>
      <c r="AQ19" s="308"/>
      <c r="AR19" s="308">
        <f t="shared" si="14"/>
        <v>0</v>
      </c>
      <c r="AS19" s="310"/>
      <c r="AT19" s="311">
        <f t="shared" si="15"/>
        <v>0</v>
      </c>
      <c r="AU19" s="306"/>
      <c r="AV19" s="312">
        <f t="shared" si="16"/>
        <v>0</v>
      </c>
      <c r="AW19" s="310"/>
      <c r="AX19" s="310">
        <f t="shared" si="17"/>
        <v>0</v>
      </c>
      <c r="AY19" s="308"/>
      <c r="AZ19" s="309">
        <f t="shared" si="18"/>
        <v>0</v>
      </c>
      <c r="BA19" s="306"/>
      <c r="BB19" s="312">
        <f t="shared" si="19"/>
        <v>0</v>
      </c>
      <c r="BC19" s="308"/>
      <c r="BD19" s="308">
        <f t="shared" si="20"/>
        <v>0</v>
      </c>
      <c r="BE19" s="310"/>
      <c r="BF19" s="311">
        <f t="shared" si="21"/>
        <v>0</v>
      </c>
      <c r="BG19" s="306"/>
      <c r="BH19" s="312">
        <f t="shared" si="22"/>
        <v>0</v>
      </c>
      <c r="BI19" s="308"/>
      <c r="BJ19" s="308">
        <f t="shared" si="23"/>
        <v>0</v>
      </c>
      <c r="BK19" s="310"/>
      <c r="BL19" s="311">
        <f t="shared" si="24"/>
        <v>0</v>
      </c>
    </row>
    <row r="20" spans="2:64" s="188" customFormat="1" ht="37" customHeight="1" x14ac:dyDescent="0.35">
      <c r="B20" s="300" t="str">
        <f>IF(ISBLANK($E20)," ",IF(AND(COUNTA(E$8:$E20)+64&gt;72,COUNTA(E$8:$E20)+64&lt;78),CHAR(COUNTA(E$8:$E20)+65),IF(COUNTA(E$8:$E20)+64&gt;77,CHAR(COUNTA(E$8:$E20)+66),CHAR(COUNTA(E$8:$E20)+64))))</f>
        <v>C</v>
      </c>
      <c r="C20" s="315" t="s">
        <v>105</v>
      </c>
      <c r="D20" s="302" t="s">
        <v>103</v>
      </c>
      <c r="E20" s="303">
        <v>7</v>
      </c>
      <c r="F20" s="304">
        <v>217.8</v>
      </c>
      <c r="G20" s="305">
        <v>3702.6000000000004</v>
      </c>
      <c r="H20" s="306">
        <v>534</v>
      </c>
      <c r="I20" s="307">
        <v>7</v>
      </c>
      <c r="J20" s="308">
        <f t="shared" si="25"/>
        <v>3738</v>
      </c>
      <c r="K20" s="308"/>
      <c r="L20" s="308">
        <f t="shared" si="0"/>
        <v>0</v>
      </c>
      <c r="M20" s="308"/>
      <c r="N20" s="309">
        <f t="shared" si="1"/>
        <v>0</v>
      </c>
      <c r="O20" s="310"/>
      <c r="P20" s="311">
        <f t="shared" si="2"/>
        <v>0</v>
      </c>
      <c r="Q20" s="310">
        <v>245</v>
      </c>
      <c r="R20" s="311">
        <f t="shared" si="3"/>
        <v>1715</v>
      </c>
      <c r="S20" s="310"/>
      <c r="T20" s="311">
        <f t="shared" si="4"/>
        <v>0</v>
      </c>
      <c r="U20" s="306">
        <v>274</v>
      </c>
      <c r="V20" s="307">
        <v>17</v>
      </c>
      <c r="W20" s="308">
        <f t="shared" si="26"/>
        <v>4658</v>
      </c>
      <c r="X20" s="307"/>
      <c r="Y20" s="308">
        <f t="shared" si="5"/>
        <v>0</v>
      </c>
      <c r="Z20" s="307"/>
      <c r="AA20" s="308">
        <f t="shared" si="6"/>
        <v>0</v>
      </c>
      <c r="AB20" s="307"/>
      <c r="AC20" s="308">
        <f t="shared" si="7"/>
        <v>0</v>
      </c>
      <c r="AD20" s="313"/>
      <c r="AE20" s="311">
        <f t="shared" si="8"/>
        <v>0</v>
      </c>
      <c r="AF20" s="306">
        <v>226</v>
      </c>
      <c r="AG20" s="314">
        <v>7</v>
      </c>
      <c r="AH20" s="312">
        <f t="shared" si="9"/>
        <v>1582</v>
      </c>
      <c r="AI20" s="310"/>
      <c r="AJ20" s="311">
        <f t="shared" si="10"/>
        <v>0</v>
      </c>
      <c r="AK20" s="306"/>
      <c r="AL20" s="308">
        <f t="shared" si="11"/>
        <v>0</v>
      </c>
      <c r="AM20" s="307"/>
      <c r="AN20" s="308">
        <f t="shared" si="12"/>
        <v>0</v>
      </c>
      <c r="AO20" s="308"/>
      <c r="AP20" s="308">
        <f t="shared" si="13"/>
        <v>0</v>
      </c>
      <c r="AQ20" s="308"/>
      <c r="AR20" s="308">
        <f t="shared" si="14"/>
        <v>0</v>
      </c>
      <c r="AS20" s="310"/>
      <c r="AT20" s="311">
        <f t="shared" si="15"/>
        <v>0</v>
      </c>
      <c r="AU20" s="306"/>
      <c r="AV20" s="312">
        <f t="shared" si="16"/>
        <v>0</v>
      </c>
      <c r="AW20" s="310"/>
      <c r="AX20" s="310">
        <f t="shared" si="17"/>
        <v>0</v>
      </c>
      <c r="AY20" s="308"/>
      <c r="AZ20" s="309">
        <f t="shared" si="18"/>
        <v>0</v>
      </c>
      <c r="BA20" s="306"/>
      <c r="BB20" s="312">
        <f t="shared" si="19"/>
        <v>0</v>
      </c>
      <c r="BC20" s="308"/>
      <c r="BD20" s="308">
        <f t="shared" si="20"/>
        <v>0</v>
      </c>
      <c r="BE20" s="310"/>
      <c r="BF20" s="311">
        <f t="shared" si="21"/>
        <v>0</v>
      </c>
      <c r="BG20" s="306"/>
      <c r="BH20" s="312">
        <f t="shared" si="22"/>
        <v>0</v>
      </c>
      <c r="BI20" s="308"/>
      <c r="BJ20" s="308">
        <f t="shared" si="23"/>
        <v>0</v>
      </c>
      <c r="BK20" s="310"/>
      <c r="BL20" s="311">
        <f t="shared" si="24"/>
        <v>0</v>
      </c>
    </row>
    <row r="21" spans="2:64" s="188" customFormat="1" ht="37" customHeight="1" x14ac:dyDescent="0.35">
      <c r="B21" s="300" t="str">
        <f>IF(ISBLANK($E21)," ",IF(AND(COUNTA(E$8:$E21)+64&gt;72,COUNTA(E$8:$E21)+64&lt;78),CHAR(COUNTA(E$8:$E21)+65),IF(COUNTA(E$8:$E21)+64&gt;77,CHAR(COUNTA(E$8:$E21)+66),CHAR(COUNTA(E$8:$E21)+64))))</f>
        <v>D</v>
      </c>
      <c r="C21" s="315" t="s">
        <v>106</v>
      </c>
      <c r="D21" s="302" t="s">
        <v>103</v>
      </c>
      <c r="E21" s="303">
        <v>343</v>
      </c>
      <c r="F21" s="304">
        <v>233.1</v>
      </c>
      <c r="G21" s="305">
        <v>79953.3</v>
      </c>
      <c r="H21" s="306">
        <v>613</v>
      </c>
      <c r="I21" s="307">
        <v>343</v>
      </c>
      <c r="J21" s="308">
        <f t="shared" si="25"/>
        <v>210259</v>
      </c>
      <c r="K21" s="308"/>
      <c r="L21" s="308">
        <f t="shared" si="0"/>
        <v>0</v>
      </c>
      <c r="M21" s="308"/>
      <c r="N21" s="309">
        <f t="shared" si="1"/>
        <v>0</v>
      </c>
      <c r="O21" s="310"/>
      <c r="P21" s="311">
        <f t="shared" si="2"/>
        <v>0</v>
      </c>
      <c r="Q21" s="310">
        <v>380</v>
      </c>
      <c r="R21" s="311">
        <f t="shared" si="3"/>
        <v>130340</v>
      </c>
      <c r="S21" s="310"/>
      <c r="T21" s="311">
        <f t="shared" si="4"/>
        <v>0</v>
      </c>
      <c r="U21" s="306">
        <v>294</v>
      </c>
      <c r="V21" s="307">
        <v>360</v>
      </c>
      <c r="W21" s="308">
        <f t="shared" si="26"/>
        <v>105840</v>
      </c>
      <c r="X21" s="307"/>
      <c r="Y21" s="308">
        <f t="shared" si="5"/>
        <v>0</v>
      </c>
      <c r="Z21" s="307"/>
      <c r="AA21" s="308">
        <f t="shared" si="6"/>
        <v>0</v>
      </c>
      <c r="AB21" s="307"/>
      <c r="AC21" s="308">
        <f t="shared" si="7"/>
        <v>0</v>
      </c>
      <c r="AD21" s="313"/>
      <c r="AE21" s="311">
        <f t="shared" si="8"/>
        <v>0</v>
      </c>
      <c r="AF21" s="306">
        <v>446</v>
      </c>
      <c r="AG21" s="314">
        <v>343</v>
      </c>
      <c r="AH21" s="312">
        <f t="shared" si="9"/>
        <v>152978</v>
      </c>
      <c r="AI21" s="310"/>
      <c r="AJ21" s="311">
        <f t="shared" si="10"/>
        <v>0</v>
      </c>
      <c r="AK21" s="306"/>
      <c r="AL21" s="308">
        <f t="shared" si="11"/>
        <v>0</v>
      </c>
      <c r="AM21" s="307"/>
      <c r="AN21" s="308">
        <f t="shared" si="12"/>
        <v>0</v>
      </c>
      <c r="AO21" s="308"/>
      <c r="AP21" s="308">
        <f t="shared" si="13"/>
        <v>0</v>
      </c>
      <c r="AQ21" s="308"/>
      <c r="AR21" s="308">
        <f t="shared" si="14"/>
        <v>0</v>
      </c>
      <c r="AS21" s="310"/>
      <c r="AT21" s="311">
        <f t="shared" si="15"/>
        <v>0</v>
      </c>
      <c r="AU21" s="306"/>
      <c r="AV21" s="312">
        <f t="shared" si="16"/>
        <v>0</v>
      </c>
      <c r="AW21" s="310"/>
      <c r="AX21" s="310">
        <f t="shared" si="17"/>
        <v>0</v>
      </c>
      <c r="AY21" s="308"/>
      <c r="AZ21" s="309">
        <f t="shared" si="18"/>
        <v>0</v>
      </c>
      <c r="BA21" s="306"/>
      <c r="BB21" s="312">
        <f t="shared" si="19"/>
        <v>0</v>
      </c>
      <c r="BC21" s="308"/>
      <c r="BD21" s="308">
        <f t="shared" si="20"/>
        <v>0</v>
      </c>
      <c r="BE21" s="310"/>
      <c r="BF21" s="311">
        <f t="shared" si="21"/>
        <v>0</v>
      </c>
      <c r="BG21" s="306"/>
      <c r="BH21" s="312">
        <f t="shared" si="22"/>
        <v>0</v>
      </c>
      <c r="BI21" s="308"/>
      <c r="BJ21" s="308">
        <f t="shared" si="23"/>
        <v>0</v>
      </c>
      <c r="BK21" s="310"/>
      <c r="BL21" s="311">
        <f t="shared" si="24"/>
        <v>0</v>
      </c>
    </row>
    <row r="22" spans="2:64" s="188" customFormat="1" ht="37" customHeight="1" x14ac:dyDescent="0.35">
      <c r="B22" s="300" t="str">
        <f>IF(ISBLANK($E22)," ",IF(AND(COUNTA(E$8:$E22)+64&gt;72,COUNTA(E$8:$E22)+64&lt;78),CHAR(COUNTA(E$8:$E22)+65),IF(COUNTA(E$8:$E22)+64&gt;77,CHAR(COUNTA(E$8:$E22)+66),CHAR(COUNTA(E$8:$E22)+64))))</f>
        <v>E</v>
      </c>
      <c r="C22" s="316" t="s">
        <v>107</v>
      </c>
      <c r="D22" s="302" t="s">
        <v>103</v>
      </c>
      <c r="E22" s="303">
        <v>426</v>
      </c>
      <c r="F22" s="304">
        <v>65.7</v>
      </c>
      <c r="G22" s="305">
        <v>27988.2</v>
      </c>
      <c r="H22" s="306">
        <v>604</v>
      </c>
      <c r="I22" s="307">
        <v>426</v>
      </c>
      <c r="J22" s="308">
        <f t="shared" si="25"/>
        <v>257304</v>
      </c>
      <c r="K22" s="308"/>
      <c r="L22" s="308">
        <f t="shared" si="0"/>
        <v>0</v>
      </c>
      <c r="M22" s="308"/>
      <c r="N22" s="309">
        <f t="shared" si="1"/>
        <v>0</v>
      </c>
      <c r="O22" s="310"/>
      <c r="P22" s="311">
        <f t="shared" si="2"/>
        <v>0</v>
      </c>
      <c r="Q22" s="310">
        <v>380</v>
      </c>
      <c r="R22" s="311">
        <f t="shared" si="3"/>
        <v>161880</v>
      </c>
      <c r="S22" s="310"/>
      <c r="T22" s="311">
        <f t="shared" si="4"/>
        <v>0</v>
      </c>
      <c r="U22" s="317"/>
      <c r="V22" s="318">
        <v>426</v>
      </c>
      <c r="W22" s="319">
        <f t="shared" si="26"/>
        <v>0</v>
      </c>
      <c r="X22" s="307"/>
      <c r="Y22" s="308">
        <f t="shared" si="5"/>
        <v>0</v>
      </c>
      <c r="Z22" s="307"/>
      <c r="AA22" s="308">
        <f t="shared" si="6"/>
        <v>0</v>
      </c>
      <c r="AB22" s="307"/>
      <c r="AC22" s="308">
        <f t="shared" si="7"/>
        <v>0</v>
      </c>
      <c r="AD22" s="313"/>
      <c r="AE22" s="311">
        <f t="shared" si="8"/>
        <v>0</v>
      </c>
      <c r="AF22" s="317"/>
      <c r="AG22" s="320">
        <v>426</v>
      </c>
      <c r="AH22" s="321">
        <f t="shared" si="9"/>
        <v>0</v>
      </c>
      <c r="AI22" s="310"/>
      <c r="AJ22" s="311">
        <f t="shared" si="10"/>
        <v>0</v>
      </c>
      <c r="AK22" s="306"/>
      <c r="AL22" s="308">
        <f t="shared" si="11"/>
        <v>0</v>
      </c>
      <c r="AM22" s="307"/>
      <c r="AN22" s="308">
        <f t="shared" si="12"/>
        <v>0</v>
      </c>
      <c r="AO22" s="308"/>
      <c r="AP22" s="308">
        <f t="shared" si="13"/>
        <v>0</v>
      </c>
      <c r="AQ22" s="308"/>
      <c r="AR22" s="308">
        <f t="shared" si="14"/>
        <v>0</v>
      </c>
      <c r="AS22" s="310"/>
      <c r="AT22" s="311">
        <f t="shared" si="15"/>
        <v>0</v>
      </c>
      <c r="AU22" s="306"/>
      <c r="AV22" s="312">
        <f t="shared" si="16"/>
        <v>0</v>
      </c>
      <c r="AW22" s="310"/>
      <c r="AX22" s="310">
        <f t="shared" si="17"/>
        <v>0</v>
      </c>
      <c r="AY22" s="308"/>
      <c r="AZ22" s="309">
        <f t="shared" si="18"/>
        <v>0</v>
      </c>
      <c r="BA22" s="306"/>
      <c r="BB22" s="312">
        <f t="shared" si="19"/>
        <v>0</v>
      </c>
      <c r="BC22" s="308"/>
      <c r="BD22" s="308">
        <f t="shared" si="20"/>
        <v>0</v>
      </c>
      <c r="BE22" s="310"/>
      <c r="BF22" s="311">
        <f t="shared" si="21"/>
        <v>0</v>
      </c>
      <c r="BG22" s="306"/>
      <c r="BH22" s="312">
        <f t="shared" si="22"/>
        <v>0</v>
      </c>
      <c r="BI22" s="308"/>
      <c r="BJ22" s="308">
        <f t="shared" si="23"/>
        <v>0</v>
      </c>
      <c r="BK22" s="310"/>
      <c r="BL22" s="311">
        <f t="shared" si="24"/>
        <v>0</v>
      </c>
    </row>
    <row r="23" spans="2:64" s="188" customFormat="1" ht="37" customHeight="1" x14ac:dyDescent="0.35">
      <c r="B23" s="300" t="str">
        <f>IF(ISBLANK($E23)," ",IF(AND(COUNTA(E$8:$E23)+64&gt;72,COUNTA(E$8:$E23)+64&lt;78),CHAR(COUNTA(E$8:$E23)+65),IF(COUNTA(E$8:$E23)+64&gt;77,CHAR(COUNTA(E$8:$E23)+66),CHAR(COUNTA(E$8:$E23)+64))))</f>
        <v>F</v>
      </c>
      <c r="C23" s="315" t="s">
        <v>108</v>
      </c>
      <c r="D23" s="302" t="s">
        <v>103</v>
      </c>
      <c r="E23" s="303">
        <v>454</v>
      </c>
      <c r="F23" s="304">
        <v>233.1</v>
      </c>
      <c r="G23" s="305">
        <v>110955.59999999999</v>
      </c>
      <c r="H23" s="306">
        <v>656</v>
      </c>
      <c r="I23" s="307">
        <v>454</v>
      </c>
      <c r="J23" s="308">
        <f t="shared" si="25"/>
        <v>297824</v>
      </c>
      <c r="K23" s="308"/>
      <c r="L23" s="308">
        <f t="shared" si="0"/>
        <v>0</v>
      </c>
      <c r="M23" s="308"/>
      <c r="N23" s="309">
        <f t="shared" si="1"/>
        <v>0</v>
      </c>
      <c r="O23" s="310"/>
      <c r="P23" s="311">
        <f t="shared" si="2"/>
        <v>0</v>
      </c>
      <c r="Q23" s="310">
        <v>380</v>
      </c>
      <c r="R23" s="311">
        <f t="shared" si="3"/>
        <v>172520</v>
      </c>
      <c r="S23" s="310"/>
      <c r="T23" s="311">
        <f t="shared" si="4"/>
        <v>0</v>
      </c>
      <c r="U23" s="306">
        <v>294</v>
      </c>
      <c r="V23" s="307">
        <v>476</v>
      </c>
      <c r="W23" s="308">
        <f t="shared" si="26"/>
        <v>139944</v>
      </c>
      <c r="X23" s="307"/>
      <c r="Y23" s="308">
        <f t="shared" si="5"/>
        <v>0</v>
      </c>
      <c r="Z23" s="307"/>
      <c r="AA23" s="308">
        <f t="shared" si="6"/>
        <v>0</v>
      </c>
      <c r="AB23" s="307"/>
      <c r="AC23" s="308">
        <f t="shared" si="7"/>
        <v>0</v>
      </c>
      <c r="AD23" s="313"/>
      <c r="AE23" s="311">
        <f t="shared" si="8"/>
        <v>0</v>
      </c>
      <c r="AF23" s="306">
        <v>466</v>
      </c>
      <c r="AG23" s="314">
        <v>454</v>
      </c>
      <c r="AH23" s="312">
        <f t="shared" si="9"/>
        <v>211564</v>
      </c>
      <c r="AI23" s="310"/>
      <c r="AJ23" s="311">
        <f t="shared" si="10"/>
        <v>0</v>
      </c>
      <c r="AK23" s="306"/>
      <c r="AL23" s="308">
        <f t="shared" si="11"/>
        <v>0</v>
      </c>
      <c r="AM23" s="307"/>
      <c r="AN23" s="308">
        <f t="shared" si="12"/>
        <v>0</v>
      </c>
      <c r="AO23" s="308"/>
      <c r="AP23" s="308">
        <f t="shared" si="13"/>
        <v>0</v>
      </c>
      <c r="AQ23" s="308"/>
      <c r="AR23" s="308">
        <f t="shared" si="14"/>
        <v>0</v>
      </c>
      <c r="AS23" s="310"/>
      <c r="AT23" s="311">
        <f t="shared" si="15"/>
        <v>0</v>
      </c>
      <c r="AU23" s="306"/>
      <c r="AV23" s="312">
        <f t="shared" si="16"/>
        <v>0</v>
      </c>
      <c r="AW23" s="310"/>
      <c r="AX23" s="310">
        <f t="shared" si="17"/>
        <v>0</v>
      </c>
      <c r="AY23" s="308"/>
      <c r="AZ23" s="309">
        <f t="shared" si="18"/>
        <v>0</v>
      </c>
      <c r="BA23" s="306"/>
      <c r="BB23" s="312">
        <f t="shared" si="19"/>
        <v>0</v>
      </c>
      <c r="BC23" s="308"/>
      <c r="BD23" s="308">
        <f t="shared" si="20"/>
        <v>0</v>
      </c>
      <c r="BE23" s="310"/>
      <c r="BF23" s="311">
        <f t="shared" si="21"/>
        <v>0</v>
      </c>
      <c r="BG23" s="306"/>
      <c r="BH23" s="312">
        <f t="shared" si="22"/>
        <v>0</v>
      </c>
      <c r="BI23" s="308"/>
      <c r="BJ23" s="308">
        <f t="shared" si="23"/>
        <v>0</v>
      </c>
      <c r="BK23" s="310"/>
      <c r="BL23" s="311">
        <f t="shared" si="24"/>
        <v>0</v>
      </c>
    </row>
    <row r="24" spans="2:64" s="188" customFormat="1" ht="37" customHeight="1" x14ac:dyDescent="0.35">
      <c r="B24" s="300" t="str">
        <f>IF(ISBLANK($E24)," ",IF(AND(COUNTA(E$8:$E24)+64&gt;72,COUNTA(E$8:$E24)+64&lt;78),CHAR(COUNTA(E$8:$E24)+65),IF(COUNTA(E$8:$E24)+64&gt;77,CHAR(COUNTA(E$8:$E24)+66),CHAR(COUNTA(E$8:$E24)+64))))</f>
        <v>G</v>
      </c>
      <c r="C24" s="315" t="s">
        <v>109</v>
      </c>
      <c r="D24" s="302" t="s">
        <v>103</v>
      </c>
      <c r="E24" s="303">
        <v>20</v>
      </c>
      <c r="F24" s="304">
        <v>233.1</v>
      </c>
      <c r="G24" s="305">
        <v>4662</v>
      </c>
      <c r="H24" s="306">
        <v>656</v>
      </c>
      <c r="I24" s="307">
        <v>20</v>
      </c>
      <c r="J24" s="308">
        <f t="shared" si="25"/>
        <v>13120</v>
      </c>
      <c r="K24" s="308"/>
      <c r="L24" s="308">
        <f t="shared" si="0"/>
        <v>0</v>
      </c>
      <c r="M24" s="308"/>
      <c r="N24" s="309">
        <f t="shared" si="1"/>
        <v>0</v>
      </c>
      <c r="O24" s="310"/>
      <c r="P24" s="311">
        <f t="shared" si="2"/>
        <v>0</v>
      </c>
      <c r="Q24" s="310">
        <v>380</v>
      </c>
      <c r="R24" s="311">
        <f t="shared" si="3"/>
        <v>7600</v>
      </c>
      <c r="S24" s="310"/>
      <c r="T24" s="311">
        <f t="shared" si="4"/>
        <v>0</v>
      </c>
      <c r="U24" s="306">
        <v>294</v>
      </c>
      <c r="V24" s="307">
        <v>20</v>
      </c>
      <c r="W24" s="308">
        <f t="shared" si="26"/>
        <v>5880</v>
      </c>
      <c r="X24" s="307"/>
      <c r="Y24" s="308">
        <f t="shared" si="5"/>
        <v>0</v>
      </c>
      <c r="Z24" s="307"/>
      <c r="AA24" s="308">
        <f t="shared" si="6"/>
        <v>0</v>
      </c>
      <c r="AB24" s="307"/>
      <c r="AC24" s="308">
        <f t="shared" si="7"/>
        <v>0</v>
      </c>
      <c r="AD24" s="313"/>
      <c r="AE24" s="311">
        <f t="shared" si="8"/>
        <v>0</v>
      </c>
      <c r="AF24" s="306">
        <v>362</v>
      </c>
      <c r="AG24" s="314">
        <v>20</v>
      </c>
      <c r="AH24" s="312">
        <f t="shared" si="9"/>
        <v>7240</v>
      </c>
      <c r="AI24" s="310"/>
      <c r="AJ24" s="311">
        <f t="shared" si="10"/>
        <v>0</v>
      </c>
      <c r="AK24" s="306"/>
      <c r="AL24" s="308">
        <f t="shared" si="11"/>
        <v>0</v>
      </c>
      <c r="AM24" s="307"/>
      <c r="AN24" s="308">
        <f t="shared" si="12"/>
        <v>0</v>
      </c>
      <c r="AO24" s="308"/>
      <c r="AP24" s="308">
        <f t="shared" si="13"/>
        <v>0</v>
      </c>
      <c r="AQ24" s="308"/>
      <c r="AR24" s="308">
        <f t="shared" si="14"/>
        <v>0</v>
      </c>
      <c r="AS24" s="310"/>
      <c r="AT24" s="311">
        <f t="shared" si="15"/>
        <v>0</v>
      </c>
      <c r="AU24" s="306"/>
      <c r="AV24" s="312">
        <f t="shared" si="16"/>
        <v>0</v>
      </c>
      <c r="AW24" s="310"/>
      <c r="AX24" s="310">
        <f t="shared" si="17"/>
        <v>0</v>
      </c>
      <c r="AY24" s="308"/>
      <c r="AZ24" s="309">
        <f t="shared" si="18"/>
        <v>0</v>
      </c>
      <c r="BA24" s="306"/>
      <c r="BB24" s="312">
        <f t="shared" si="19"/>
        <v>0</v>
      </c>
      <c r="BC24" s="308"/>
      <c r="BD24" s="308">
        <f t="shared" si="20"/>
        <v>0</v>
      </c>
      <c r="BE24" s="310"/>
      <c r="BF24" s="311">
        <f t="shared" si="21"/>
        <v>0</v>
      </c>
      <c r="BG24" s="306"/>
      <c r="BH24" s="312">
        <f t="shared" si="22"/>
        <v>0</v>
      </c>
      <c r="BI24" s="308"/>
      <c r="BJ24" s="308">
        <f t="shared" si="23"/>
        <v>0</v>
      </c>
      <c r="BK24" s="310"/>
      <c r="BL24" s="311">
        <f t="shared" si="24"/>
        <v>0</v>
      </c>
    </row>
    <row r="25" spans="2:64" s="188" customFormat="1" ht="37" customHeight="1" x14ac:dyDescent="0.35">
      <c r="B25" s="300" t="str">
        <f>IF(ISBLANK($E25)," ",IF(AND(COUNTA(E$8:$E25)+64&gt;72,COUNTA(E$8:$E25)+64&lt;78),CHAR(COUNTA(E$8:$E25)+65),IF(COUNTA(E$8:$E25)+64&gt;77,CHAR(COUNTA(E$8:$E25)+66),CHAR(COUNTA(E$8:$E25)+64))))</f>
        <v>H</v>
      </c>
      <c r="C25" s="316" t="s">
        <v>110</v>
      </c>
      <c r="D25" s="302" t="s">
        <v>103</v>
      </c>
      <c r="E25" s="303">
        <v>17</v>
      </c>
      <c r="F25" s="304">
        <v>435.6</v>
      </c>
      <c r="G25" s="305">
        <v>7405.2000000000007</v>
      </c>
      <c r="H25" s="306">
        <v>1002</v>
      </c>
      <c r="I25" s="307">
        <v>17</v>
      </c>
      <c r="J25" s="308">
        <f t="shared" si="25"/>
        <v>17034</v>
      </c>
      <c r="K25" s="308"/>
      <c r="L25" s="308">
        <f t="shared" si="0"/>
        <v>0</v>
      </c>
      <c r="M25" s="308"/>
      <c r="N25" s="309">
        <f t="shared" si="1"/>
        <v>0</v>
      </c>
      <c r="O25" s="310"/>
      <c r="P25" s="311">
        <f t="shared" si="2"/>
        <v>0</v>
      </c>
      <c r="Q25" s="310">
        <v>620</v>
      </c>
      <c r="R25" s="311">
        <f t="shared" si="3"/>
        <v>10540</v>
      </c>
      <c r="S25" s="310"/>
      <c r="T25" s="311">
        <f t="shared" si="4"/>
        <v>0</v>
      </c>
      <c r="U25" s="306">
        <v>658</v>
      </c>
      <c r="V25" s="307">
        <v>17</v>
      </c>
      <c r="W25" s="308">
        <f t="shared" si="26"/>
        <v>11186</v>
      </c>
      <c r="X25" s="307"/>
      <c r="Y25" s="308">
        <f t="shared" si="5"/>
        <v>0</v>
      </c>
      <c r="Z25" s="307"/>
      <c r="AA25" s="308">
        <f t="shared" si="6"/>
        <v>0</v>
      </c>
      <c r="AB25" s="307"/>
      <c r="AC25" s="308">
        <f t="shared" si="7"/>
        <v>0</v>
      </c>
      <c r="AD25" s="313"/>
      <c r="AE25" s="311">
        <f t="shared" si="8"/>
        <v>0</v>
      </c>
      <c r="AF25" s="322"/>
      <c r="AG25" s="323"/>
      <c r="AH25" s="324">
        <f t="shared" si="9"/>
        <v>0</v>
      </c>
      <c r="AI25" s="310"/>
      <c r="AJ25" s="311">
        <f t="shared" si="10"/>
        <v>0</v>
      </c>
      <c r="AK25" s="306"/>
      <c r="AL25" s="308">
        <f t="shared" si="11"/>
        <v>0</v>
      </c>
      <c r="AM25" s="307"/>
      <c r="AN25" s="308">
        <f t="shared" si="12"/>
        <v>0</v>
      </c>
      <c r="AO25" s="308"/>
      <c r="AP25" s="308">
        <f t="shared" si="13"/>
        <v>0</v>
      </c>
      <c r="AQ25" s="308"/>
      <c r="AR25" s="308">
        <f t="shared" si="14"/>
        <v>0</v>
      </c>
      <c r="AS25" s="310"/>
      <c r="AT25" s="311">
        <f t="shared" si="15"/>
        <v>0</v>
      </c>
      <c r="AU25" s="306"/>
      <c r="AV25" s="312">
        <f t="shared" si="16"/>
        <v>0</v>
      </c>
      <c r="AW25" s="310"/>
      <c r="AX25" s="310">
        <f t="shared" si="17"/>
        <v>0</v>
      </c>
      <c r="AY25" s="308"/>
      <c r="AZ25" s="309">
        <f t="shared" si="18"/>
        <v>0</v>
      </c>
      <c r="BA25" s="306"/>
      <c r="BB25" s="312">
        <f t="shared" si="19"/>
        <v>0</v>
      </c>
      <c r="BC25" s="308"/>
      <c r="BD25" s="308">
        <f t="shared" si="20"/>
        <v>0</v>
      </c>
      <c r="BE25" s="310"/>
      <c r="BF25" s="311">
        <f t="shared" si="21"/>
        <v>0</v>
      </c>
      <c r="BG25" s="306"/>
      <c r="BH25" s="312">
        <f t="shared" si="22"/>
        <v>0</v>
      </c>
      <c r="BI25" s="308"/>
      <c r="BJ25" s="308">
        <f t="shared" si="23"/>
        <v>0</v>
      </c>
      <c r="BK25" s="310"/>
      <c r="BL25" s="311">
        <f t="shared" si="24"/>
        <v>0</v>
      </c>
    </row>
    <row r="26" spans="2:64" s="188" customFormat="1" ht="60.5" customHeight="1" x14ac:dyDescent="0.35">
      <c r="B26" s="300" t="str">
        <f>IF(ISBLANK($E26)," ",IF(AND(COUNTA(E$8:$E26)+64&gt;72,COUNTA(E$8:$E26)+64&lt;78),CHAR(COUNTA(E$8:$E26)+65),IF(COUNTA(E$8:$E26)+64&gt;77,CHAR(COUNTA(E$8:$E26)+66),CHAR(COUNTA(E$8:$E26)+64))))</f>
        <v>J</v>
      </c>
      <c r="C26" s="325" t="s">
        <v>111</v>
      </c>
      <c r="D26" s="302" t="s">
        <v>103</v>
      </c>
      <c r="E26" s="303">
        <v>15</v>
      </c>
      <c r="F26" s="304">
        <v>288</v>
      </c>
      <c r="G26" s="305">
        <v>4320</v>
      </c>
      <c r="H26" s="306">
        <v>890</v>
      </c>
      <c r="I26" s="307">
        <v>15</v>
      </c>
      <c r="J26" s="308">
        <f t="shared" si="25"/>
        <v>13350</v>
      </c>
      <c r="K26" s="308"/>
      <c r="L26" s="308">
        <f t="shared" si="0"/>
        <v>0</v>
      </c>
      <c r="M26" s="308"/>
      <c r="N26" s="309">
        <f t="shared" si="1"/>
        <v>0</v>
      </c>
      <c r="O26" s="310"/>
      <c r="P26" s="311">
        <f t="shared" si="2"/>
        <v>0</v>
      </c>
      <c r="Q26" s="310">
        <v>425</v>
      </c>
      <c r="R26" s="311">
        <f t="shared" si="3"/>
        <v>6375</v>
      </c>
      <c r="S26" s="310"/>
      <c r="T26" s="311">
        <f t="shared" si="4"/>
        <v>0</v>
      </c>
      <c r="U26" s="306">
        <v>411</v>
      </c>
      <c r="V26" s="307">
        <v>15</v>
      </c>
      <c r="W26" s="308">
        <f t="shared" si="26"/>
        <v>6165</v>
      </c>
      <c r="X26" s="307"/>
      <c r="Y26" s="308">
        <f t="shared" si="5"/>
        <v>0</v>
      </c>
      <c r="Z26" s="307"/>
      <c r="AA26" s="308">
        <f t="shared" si="6"/>
        <v>0</v>
      </c>
      <c r="AB26" s="307"/>
      <c r="AC26" s="308">
        <f t="shared" si="7"/>
        <v>0</v>
      </c>
      <c r="AD26" s="313"/>
      <c r="AE26" s="311">
        <f t="shared" si="8"/>
        <v>0</v>
      </c>
      <c r="AF26" s="306">
        <v>656</v>
      </c>
      <c r="AG26" s="314">
        <v>15</v>
      </c>
      <c r="AH26" s="312">
        <f t="shared" si="9"/>
        <v>9840</v>
      </c>
      <c r="AI26" s="310"/>
      <c r="AJ26" s="311">
        <f t="shared" si="10"/>
        <v>0</v>
      </c>
      <c r="AK26" s="306"/>
      <c r="AL26" s="308">
        <f t="shared" si="11"/>
        <v>0</v>
      </c>
      <c r="AM26" s="307"/>
      <c r="AN26" s="308">
        <f t="shared" si="12"/>
        <v>0</v>
      </c>
      <c r="AO26" s="308"/>
      <c r="AP26" s="308">
        <f t="shared" si="13"/>
        <v>0</v>
      </c>
      <c r="AQ26" s="308"/>
      <c r="AR26" s="308">
        <f t="shared" si="14"/>
        <v>0</v>
      </c>
      <c r="AS26" s="310"/>
      <c r="AT26" s="311">
        <f t="shared" si="15"/>
        <v>0</v>
      </c>
      <c r="AU26" s="306"/>
      <c r="AV26" s="312">
        <f t="shared" si="16"/>
        <v>0</v>
      </c>
      <c r="AW26" s="310"/>
      <c r="AX26" s="310">
        <f t="shared" si="17"/>
        <v>0</v>
      </c>
      <c r="AY26" s="308"/>
      <c r="AZ26" s="309">
        <f t="shared" si="18"/>
        <v>0</v>
      </c>
      <c r="BA26" s="306"/>
      <c r="BB26" s="312">
        <f t="shared" si="19"/>
        <v>0</v>
      </c>
      <c r="BC26" s="308"/>
      <c r="BD26" s="308">
        <f t="shared" si="20"/>
        <v>0</v>
      </c>
      <c r="BE26" s="310"/>
      <c r="BF26" s="311">
        <f t="shared" si="21"/>
        <v>0</v>
      </c>
      <c r="BG26" s="306"/>
      <c r="BH26" s="312">
        <f t="shared" si="22"/>
        <v>0</v>
      </c>
      <c r="BI26" s="308"/>
      <c r="BJ26" s="308">
        <f t="shared" si="23"/>
        <v>0</v>
      </c>
      <c r="BK26" s="310"/>
      <c r="BL26" s="311">
        <f t="shared" si="24"/>
        <v>0</v>
      </c>
    </row>
    <row r="27" spans="2:64" s="188" customFormat="1" ht="37" customHeight="1" x14ac:dyDescent="0.35">
      <c r="B27" s="300" t="str">
        <f>IF(ISBLANK($E27)," ",IF(AND(COUNTA(E$8:$E27)+64&gt;72,COUNTA(E$8:$E27)+64&lt;78),CHAR(COUNTA(E$8:$E27)+65),IF(COUNTA(E$8:$E27)+64&gt;77,CHAR(COUNTA(E$8:$E27)+66),CHAR(COUNTA(E$8:$E27)+64))))</f>
        <v>K</v>
      </c>
      <c r="C27" s="326" t="s">
        <v>112</v>
      </c>
      <c r="D27" s="302" t="s">
        <v>103</v>
      </c>
      <c r="E27" s="303">
        <v>15</v>
      </c>
      <c r="F27" s="304">
        <v>288</v>
      </c>
      <c r="G27" s="305">
        <v>4320</v>
      </c>
      <c r="H27" s="306">
        <v>890</v>
      </c>
      <c r="I27" s="307">
        <v>15</v>
      </c>
      <c r="J27" s="308">
        <f t="shared" si="25"/>
        <v>13350</v>
      </c>
      <c r="K27" s="308"/>
      <c r="L27" s="308">
        <f t="shared" si="0"/>
        <v>0</v>
      </c>
      <c r="M27" s="308"/>
      <c r="N27" s="309">
        <f t="shared" si="1"/>
        <v>0</v>
      </c>
      <c r="O27" s="310"/>
      <c r="P27" s="311">
        <f t="shared" si="2"/>
        <v>0</v>
      </c>
      <c r="Q27" s="310">
        <v>410</v>
      </c>
      <c r="R27" s="311">
        <f t="shared" si="3"/>
        <v>6150</v>
      </c>
      <c r="S27" s="310"/>
      <c r="T27" s="311">
        <f t="shared" si="4"/>
        <v>0</v>
      </c>
      <c r="U27" s="306">
        <v>363</v>
      </c>
      <c r="V27" s="307">
        <v>15</v>
      </c>
      <c r="W27" s="308">
        <f t="shared" si="26"/>
        <v>5445</v>
      </c>
      <c r="X27" s="307"/>
      <c r="Y27" s="308">
        <f t="shared" si="5"/>
        <v>0</v>
      </c>
      <c r="Z27" s="307"/>
      <c r="AA27" s="308">
        <f t="shared" si="6"/>
        <v>0</v>
      </c>
      <c r="AB27" s="307"/>
      <c r="AC27" s="308">
        <f t="shared" si="7"/>
        <v>0</v>
      </c>
      <c r="AD27" s="313"/>
      <c r="AE27" s="311">
        <f t="shared" si="8"/>
        <v>0</v>
      </c>
      <c r="AF27" s="306">
        <v>572</v>
      </c>
      <c r="AG27" s="314">
        <v>15</v>
      </c>
      <c r="AH27" s="312">
        <f t="shared" si="9"/>
        <v>8580</v>
      </c>
      <c r="AI27" s="310"/>
      <c r="AJ27" s="311">
        <f t="shared" si="10"/>
        <v>0</v>
      </c>
      <c r="AK27" s="306"/>
      <c r="AL27" s="308">
        <f t="shared" si="11"/>
        <v>0</v>
      </c>
      <c r="AM27" s="307"/>
      <c r="AN27" s="308">
        <f t="shared" si="12"/>
        <v>0</v>
      </c>
      <c r="AO27" s="308"/>
      <c r="AP27" s="308">
        <f t="shared" si="13"/>
        <v>0</v>
      </c>
      <c r="AQ27" s="308"/>
      <c r="AR27" s="308">
        <f t="shared" si="14"/>
        <v>0</v>
      </c>
      <c r="AS27" s="310"/>
      <c r="AT27" s="311">
        <f t="shared" si="15"/>
        <v>0</v>
      </c>
      <c r="AU27" s="306"/>
      <c r="AV27" s="312">
        <f t="shared" si="16"/>
        <v>0</v>
      </c>
      <c r="AW27" s="310"/>
      <c r="AX27" s="310">
        <f t="shared" si="17"/>
        <v>0</v>
      </c>
      <c r="AY27" s="308"/>
      <c r="AZ27" s="309">
        <f t="shared" si="18"/>
        <v>0</v>
      </c>
      <c r="BA27" s="306"/>
      <c r="BB27" s="312">
        <f t="shared" si="19"/>
        <v>0</v>
      </c>
      <c r="BC27" s="308"/>
      <c r="BD27" s="308">
        <f t="shared" si="20"/>
        <v>0</v>
      </c>
      <c r="BE27" s="310"/>
      <c r="BF27" s="311">
        <f t="shared" si="21"/>
        <v>0</v>
      </c>
      <c r="BG27" s="306"/>
      <c r="BH27" s="312">
        <f t="shared" si="22"/>
        <v>0</v>
      </c>
      <c r="BI27" s="308"/>
      <c r="BJ27" s="308">
        <f t="shared" si="23"/>
        <v>0</v>
      </c>
      <c r="BK27" s="310"/>
      <c r="BL27" s="311">
        <f t="shared" si="24"/>
        <v>0</v>
      </c>
    </row>
    <row r="28" spans="2:64" s="188" customFormat="1" ht="37" customHeight="1" x14ac:dyDescent="0.35">
      <c r="B28" s="300" t="str">
        <f>IF(ISBLANK($E28)," ",IF(AND(COUNTA(E$8:$E28)+64&gt;72,COUNTA(E$8:$E28)+64&lt;78),CHAR(COUNTA(E$8:$E28)+65),IF(COUNTA(E$8:$E28)+64&gt;77,CHAR(COUNTA(E$8:$E28)+66),CHAR(COUNTA(E$8:$E28)+64))))</f>
        <v>L</v>
      </c>
      <c r="C28" s="316" t="s">
        <v>113</v>
      </c>
      <c r="D28" s="302" t="s">
        <v>103</v>
      </c>
      <c r="E28" s="303">
        <v>35.5</v>
      </c>
      <c r="F28" s="304">
        <v>313.2</v>
      </c>
      <c r="G28" s="305">
        <v>11275.199999999999</v>
      </c>
      <c r="H28" s="306">
        <v>570</v>
      </c>
      <c r="I28" s="327">
        <v>36</v>
      </c>
      <c r="J28" s="308">
        <f t="shared" si="25"/>
        <v>20520</v>
      </c>
      <c r="K28" s="308"/>
      <c r="L28" s="308">
        <f t="shared" si="0"/>
        <v>0</v>
      </c>
      <c r="M28" s="308"/>
      <c r="N28" s="309">
        <f t="shared" si="1"/>
        <v>0</v>
      </c>
      <c r="O28" s="310"/>
      <c r="P28" s="311">
        <f t="shared" si="2"/>
        <v>0</v>
      </c>
      <c r="Q28" s="310">
        <v>410</v>
      </c>
      <c r="R28" s="311">
        <f t="shared" si="3"/>
        <v>14555</v>
      </c>
      <c r="S28" s="310"/>
      <c r="T28" s="311">
        <f t="shared" si="4"/>
        <v>0</v>
      </c>
      <c r="U28" s="306">
        <v>439</v>
      </c>
      <c r="V28" s="307">
        <v>36</v>
      </c>
      <c r="W28" s="308">
        <f t="shared" si="26"/>
        <v>15804</v>
      </c>
      <c r="X28" s="307"/>
      <c r="Y28" s="308">
        <f t="shared" si="5"/>
        <v>0</v>
      </c>
      <c r="Z28" s="307"/>
      <c r="AA28" s="308">
        <f t="shared" si="6"/>
        <v>0</v>
      </c>
      <c r="AB28" s="307"/>
      <c r="AC28" s="308">
        <f t="shared" si="7"/>
        <v>0</v>
      </c>
      <c r="AD28" s="313"/>
      <c r="AE28" s="311">
        <f t="shared" si="8"/>
        <v>0</v>
      </c>
      <c r="AF28" s="322"/>
      <c r="AG28" s="323">
        <v>35.5</v>
      </c>
      <c r="AH28" s="324">
        <f t="shared" si="9"/>
        <v>0</v>
      </c>
      <c r="AI28" s="310"/>
      <c r="AJ28" s="311">
        <f t="shared" si="10"/>
        <v>0</v>
      </c>
      <c r="AK28" s="306"/>
      <c r="AL28" s="308">
        <f t="shared" si="11"/>
        <v>0</v>
      </c>
      <c r="AM28" s="307"/>
      <c r="AN28" s="308">
        <f t="shared" si="12"/>
        <v>0</v>
      </c>
      <c r="AO28" s="308"/>
      <c r="AP28" s="308">
        <f t="shared" si="13"/>
        <v>0</v>
      </c>
      <c r="AQ28" s="308"/>
      <c r="AR28" s="308">
        <f t="shared" si="14"/>
        <v>0</v>
      </c>
      <c r="AS28" s="310"/>
      <c r="AT28" s="311">
        <f t="shared" si="15"/>
        <v>0</v>
      </c>
      <c r="AU28" s="306"/>
      <c r="AV28" s="312">
        <f t="shared" si="16"/>
        <v>0</v>
      </c>
      <c r="AW28" s="310"/>
      <c r="AX28" s="310">
        <f t="shared" si="17"/>
        <v>0</v>
      </c>
      <c r="AY28" s="308"/>
      <c r="AZ28" s="309">
        <f t="shared" si="18"/>
        <v>0</v>
      </c>
      <c r="BA28" s="306"/>
      <c r="BB28" s="312">
        <f t="shared" si="19"/>
        <v>0</v>
      </c>
      <c r="BC28" s="308"/>
      <c r="BD28" s="308">
        <f t="shared" si="20"/>
        <v>0</v>
      </c>
      <c r="BE28" s="310"/>
      <c r="BF28" s="311">
        <f t="shared" si="21"/>
        <v>0</v>
      </c>
      <c r="BG28" s="306"/>
      <c r="BH28" s="312">
        <f t="shared" si="22"/>
        <v>0</v>
      </c>
      <c r="BI28" s="308"/>
      <c r="BJ28" s="308">
        <f t="shared" si="23"/>
        <v>0</v>
      </c>
      <c r="BK28" s="310"/>
      <c r="BL28" s="311">
        <f t="shared" si="24"/>
        <v>0</v>
      </c>
    </row>
    <row r="29" spans="2:64" s="188" customFormat="1" ht="37" customHeight="1" x14ac:dyDescent="0.35">
      <c r="B29" s="300" t="str">
        <f>IF(ISBLANK($E29)," ",IF(AND(COUNTA(E$8:$E29)+64&gt;72,COUNTA(E$8:$E29)+64&lt;78),CHAR(COUNTA(E$8:$E29)+65),IF(COUNTA(E$8:$E29)+64&gt;77,CHAR(COUNTA(E$8:$E29)+66),CHAR(COUNTA(E$8:$E29)+64))))</f>
        <v>M</v>
      </c>
      <c r="C29" s="325" t="s">
        <v>114</v>
      </c>
      <c r="D29" s="302" t="s">
        <v>103</v>
      </c>
      <c r="E29" s="303">
        <v>4.3</v>
      </c>
      <c r="F29" s="304">
        <v>233.1</v>
      </c>
      <c r="G29" s="305">
        <v>932.4</v>
      </c>
      <c r="H29" s="306">
        <v>890</v>
      </c>
      <c r="I29" s="327">
        <v>4</v>
      </c>
      <c r="J29" s="308">
        <f t="shared" si="25"/>
        <v>3560</v>
      </c>
      <c r="K29" s="308"/>
      <c r="L29" s="308">
        <f t="shared" si="0"/>
        <v>0</v>
      </c>
      <c r="M29" s="308"/>
      <c r="N29" s="309">
        <f t="shared" si="1"/>
        <v>0</v>
      </c>
      <c r="O29" s="310"/>
      <c r="P29" s="311">
        <f t="shared" si="2"/>
        <v>0</v>
      </c>
      <c r="Q29" s="310">
        <v>380</v>
      </c>
      <c r="R29" s="311">
        <f t="shared" si="3"/>
        <v>1634</v>
      </c>
      <c r="S29" s="310"/>
      <c r="T29" s="311">
        <f t="shared" si="4"/>
        <v>0</v>
      </c>
      <c r="U29" s="306">
        <v>294</v>
      </c>
      <c r="V29" s="307">
        <v>5</v>
      </c>
      <c r="W29" s="308">
        <f t="shared" si="26"/>
        <v>1470</v>
      </c>
      <c r="X29" s="307"/>
      <c r="Y29" s="308">
        <f t="shared" si="5"/>
        <v>0</v>
      </c>
      <c r="Z29" s="307"/>
      <c r="AA29" s="308">
        <f t="shared" si="6"/>
        <v>0</v>
      </c>
      <c r="AB29" s="307"/>
      <c r="AC29" s="308">
        <f t="shared" si="7"/>
        <v>0</v>
      </c>
      <c r="AD29" s="313"/>
      <c r="AE29" s="311">
        <f t="shared" si="8"/>
        <v>0</v>
      </c>
      <c r="AF29" s="306">
        <v>418</v>
      </c>
      <c r="AG29" s="314">
        <v>4.3</v>
      </c>
      <c r="AH29" s="312">
        <f t="shared" si="9"/>
        <v>1797.3999999999999</v>
      </c>
      <c r="AI29" s="310"/>
      <c r="AJ29" s="311">
        <f t="shared" si="10"/>
        <v>0</v>
      </c>
      <c r="AK29" s="306"/>
      <c r="AL29" s="308">
        <f t="shared" si="11"/>
        <v>0</v>
      </c>
      <c r="AM29" s="307"/>
      <c r="AN29" s="308">
        <f t="shared" si="12"/>
        <v>0</v>
      </c>
      <c r="AO29" s="308"/>
      <c r="AP29" s="308">
        <f t="shared" si="13"/>
        <v>0</v>
      </c>
      <c r="AQ29" s="308"/>
      <c r="AR29" s="308">
        <f t="shared" si="14"/>
        <v>0</v>
      </c>
      <c r="AS29" s="310"/>
      <c r="AT29" s="311">
        <f t="shared" si="15"/>
        <v>0</v>
      </c>
      <c r="AU29" s="306"/>
      <c r="AV29" s="312">
        <f t="shared" si="16"/>
        <v>0</v>
      </c>
      <c r="AW29" s="310"/>
      <c r="AX29" s="310">
        <f t="shared" si="17"/>
        <v>0</v>
      </c>
      <c r="AY29" s="308"/>
      <c r="AZ29" s="309">
        <f t="shared" si="18"/>
        <v>0</v>
      </c>
      <c r="BA29" s="306"/>
      <c r="BB29" s="312">
        <f t="shared" si="19"/>
        <v>0</v>
      </c>
      <c r="BC29" s="308"/>
      <c r="BD29" s="308">
        <f t="shared" si="20"/>
        <v>0</v>
      </c>
      <c r="BE29" s="310"/>
      <c r="BF29" s="311">
        <f t="shared" si="21"/>
        <v>0</v>
      </c>
      <c r="BG29" s="306"/>
      <c r="BH29" s="312">
        <f t="shared" si="22"/>
        <v>0</v>
      </c>
      <c r="BI29" s="308"/>
      <c r="BJ29" s="308">
        <f t="shared" si="23"/>
        <v>0</v>
      </c>
      <c r="BK29" s="310"/>
      <c r="BL29" s="311">
        <f t="shared" si="24"/>
        <v>0</v>
      </c>
    </row>
    <row r="30" spans="2:64" s="188" customFormat="1" ht="37" customHeight="1" x14ac:dyDescent="0.35">
      <c r="B30" s="300" t="str">
        <f>IF(ISBLANK($E30)," ",IF(AND(COUNTA(E$8:$E30)+64&gt;72,COUNTA(E$8:$E30)+64&lt;78),CHAR(COUNTA(E$8:$E30)+65),IF(COUNTA(E$8:$E30)+64&gt;77,CHAR(COUNTA(E$8:$E30)+66),CHAR(COUNTA(E$8:$E30)+64))))</f>
        <v>N</v>
      </c>
      <c r="C30" s="315" t="s">
        <v>115</v>
      </c>
      <c r="D30" s="302" t="s">
        <v>103</v>
      </c>
      <c r="E30" s="303">
        <v>184</v>
      </c>
      <c r="F30" s="304">
        <v>73.8</v>
      </c>
      <c r="G30" s="305">
        <v>13579.199999999999</v>
      </c>
      <c r="H30" s="306">
        <v>166</v>
      </c>
      <c r="I30" s="307">
        <v>184</v>
      </c>
      <c r="J30" s="308">
        <f t="shared" si="25"/>
        <v>30544</v>
      </c>
      <c r="K30" s="308"/>
      <c r="L30" s="308">
        <f t="shared" si="0"/>
        <v>0</v>
      </c>
      <c r="M30" s="308"/>
      <c r="N30" s="309">
        <f t="shared" si="1"/>
        <v>0</v>
      </c>
      <c r="O30" s="310"/>
      <c r="P30" s="311">
        <f t="shared" si="2"/>
        <v>0</v>
      </c>
      <c r="Q30" s="310">
        <v>185</v>
      </c>
      <c r="R30" s="311">
        <f t="shared" si="3"/>
        <v>34040</v>
      </c>
      <c r="S30" s="310"/>
      <c r="T30" s="311">
        <f t="shared" si="4"/>
        <v>0</v>
      </c>
      <c r="U30" s="306">
        <v>134</v>
      </c>
      <c r="V30" s="307">
        <v>184</v>
      </c>
      <c r="W30" s="308">
        <f t="shared" si="26"/>
        <v>24656</v>
      </c>
      <c r="X30" s="307"/>
      <c r="Y30" s="308">
        <f t="shared" si="5"/>
        <v>0</v>
      </c>
      <c r="Z30" s="307"/>
      <c r="AA30" s="308">
        <f t="shared" si="6"/>
        <v>0</v>
      </c>
      <c r="AB30" s="307"/>
      <c r="AC30" s="308">
        <f t="shared" si="7"/>
        <v>0</v>
      </c>
      <c r="AD30" s="313"/>
      <c r="AE30" s="311">
        <f t="shared" si="8"/>
        <v>0</v>
      </c>
      <c r="AF30" s="306">
        <v>152</v>
      </c>
      <c r="AG30" s="314">
        <v>184</v>
      </c>
      <c r="AH30" s="312">
        <f t="shared" si="9"/>
        <v>27968</v>
      </c>
      <c r="AI30" s="310"/>
      <c r="AJ30" s="311">
        <f t="shared" si="10"/>
        <v>0</v>
      </c>
      <c r="AK30" s="306"/>
      <c r="AL30" s="308">
        <f t="shared" si="11"/>
        <v>0</v>
      </c>
      <c r="AM30" s="307"/>
      <c r="AN30" s="308">
        <f t="shared" si="12"/>
        <v>0</v>
      </c>
      <c r="AO30" s="308"/>
      <c r="AP30" s="308">
        <f t="shared" si="13"/>
        <v>0</v>
      </c>
      <c r="AQ30" s="308"/>
      <c r="AR30" s="308">
        <f t="shared" si="14"/>
        <v>0</v>
      </c>
      <c r="AS30" s="310"/>
      <c r="AT30" s="311">
        <f t="shared" si="15"/>
        <v>0</v>
      </c>
      <c r="AU30" s="306"/>
      <c r="AV30" s="312">
        <f t="shared" si="16"/>
        <v>0</v>
      </c>
      <c r="AW30" s="310"/>
      <c r="AX30" s="310">
        <f t="shared" si="17"/>
        <v>0</v>
      </c>
      <c r="AY30" s="308"/>
      <c r="AZ30" s="309">
        <f t="shared" si="18"/>
        <v>0</v>
      </c>
      <c r="BA30" s="306"/>
      <c r="BB30" s="312">
        <f t="shared" si="19"/>
        <v>0</v>
      </c>
      <c r="BC30" s="308"/>
      <c r="BD30" s="308">
        <f t="shared" si="20"/>
        <v>0</v>
      </c>
      <c r="BE30" s="310"/>
      <c r="BF30" s="311">
        <f t="shared" si="21"/>
        <v>0</v>
      </c>
      <c r="BG30" s="306"/>
      <c r="BH30" s="312">
        <f t="shared" si="22"/>
        <v>0</v>
      </c>
      <c r="BI30" s="308"/>
      <c r="BJ30" s="308">
        <f t="shared" si="23"/>
        <v>0</v>
      </c>
      <c r="BK30" s="310"/>
      <c r="BL30" s="311">
        <f t="shared" si="24"/>
        <v>0</v>
      </c>
    </row>
    <row r="31" spans="2:64" s="188" customFormat="1" ht="37" customHeight="1" x14ac:dyDescent="0.35">
      <c r="B31" s="300" t="str">
        <f>IF(ISBLANK($E31)," ",IF(AND(COUNTA(E$8:$E31)+64&gt;72,COUNTA(E$8:$E31)+64&lt;78),CHAR(COUNTA(E$8:$E31)+65),IF(COUNTA(E$8:$E31)+64&gt;77,CHAR(COUNTA(E$8:$E31)+66),CHAR(COUNTA(E$8:$E31)+64))))</f>
        <v>P</v>
      </c>
      <c r="C31" s="315" t="s">
        <v>116</v>
      </c>
      <c r="D31" s="302" t="s">
        <v>103</v>
      </c>
      <c r="E31" s="303">
        <v>49</v>
      </c>
      <c r="F31" s="304">
        <v>575.1</v>
      </c>
      <c r="G31" s="305">
        <v>82239.3</v>
      </c>
      <c r="H31" s="306">
        <v>1049</v>
      </c>
      <c r="I31" s="307">
        <v>49</v>
      </c>
      <c r="J31" s="308">
        <f t="shared" si="25"/>
        <v>51401</v>
      </c>
      <c r="K31" s="308"/>
      <c r="L31" s="308">
        <f t="shared" si="0"/>
        <v>0</v>
      </c>
      <c r="M31" s="308"/>
      <c r="N31" s="309">
        <f t="shared" si="1"/>
        <v>0</v>
      </c>
      <c r="O31" s="310"/>
      <c r="P31" s="311">
        <f t="shared" si="2"/>
        <v>0</v>
      </c>
      <c r="Q31" s="310">
        <v>625</v>
      </c>
      <c r="R31" s="311">
        <f t="shared" si="3"/>
        <v>30625</v>
      </c>
      <c r="S31" s="310"/>
      <c r="T31" s="311">
        <f t="shared" si="4"/>
        <v>0</v>
      </c>
      <c r="U31" s="306">
        <v>735</v>
      </c>
      <c r="V31" s="307">
        <v>143</v>
      </c>
      <c r="W31" s="308">
        <f t="shared" si="26"/>
        <v>105105</v>
      </c>
      <c r="X31" s="307"/>
      <c r="Y31" s="308">
        <f t="shared" si="5"/>
        <v>0</v>
      </c>
      <c r="Z31" s="307"/>
      <c r="AA31" s="308">
        <f t="shared" si="6"/>
        <v>0</v>
      </c>
      <c r="AB31" s="307"/>
      <c r="AC31" s="308">
        <f t="shared" si="7"/>
        <v>0</v>
      </c>
      <c r="AD31" s="313"/>
      <c r="AE31" s="311">
        <f t="shared" si="8"/>
        <v>0</v>
      </c>
      <c r="AF31" s="306">
        <v>1067</v>
      </c>
      <c r="AG31" s="314">
        <v>49</v>
      </c>
      <c r="AH31" s="312">
        <f t="shared" si="9"/>
        <v>52283</v>
      </c>
      <c r="AI31" s="310"/>
      <c r="AJ31" s="311">
        <f t="shared" si="10"/>
        <v>0</v>
      </c>
      <c r="AK31" s="306"/>
      <c r="AL31" s="308">
        <f t="shared" si="11"/>
        <v>0</v>
      </c>
      <c r="AM31" s="307"/>
      <c r="AN31" s="308">
        <f t="shared" si="12"/>
        <v>0</v>
      </c>
      <c r="AO31" s="308"/>
      <c r="AP31" s="308">
        <f t="shared" si="13"/>
        <v>0</v>
      </c>
      <c r="AQ31" s="308"/>
      <c r="AR31" s="308">
        <f t="shared" si="14"/>
        <v>0</v>
      </c>
      <c r="AS31" s="310"/>
      <c r="AT31" s="311">
        <f t="shared" si="15"/>
        <v>0</v>
      </c>
      <c r="AU31" s="306"/>
      <c r="AV31" s="312">
        <f t="shared" si="16"/>
        <v>0</v>
      </c>
      <c r="AW31" s="310"/>
      <c r="AX31" s="310">
        <f t="shared" si="17"/>
        <v>0</v>
      </c>
      <c r="AY31" s="308"/>
      <c r="AZ31" s="309">
        <f t="shared" si="18"/>
        <v>0</v>
      </c>
      <c r="BA31" s="306"/>
      <c r="BB31" s="312">
        <f t="shared" si="19"/>
        <v>0</v>
      </c>
      <c r="BC31" s="308"/>
      <c r="BD31" s="308">
        <f t="shared" si="20"/>
        <v>0</v>
      </c>
      <c r="BE31" s="310"/>
      <c r="BF31" s="311">
        <f t="shared" si="21"/>
        <v>0</v>
      </c>
      <c r="BG31" s="306"/>
      <c r="BH31" s="312">
        <f t="shared" si="22"/>
        <v>0</v>
      </c>
      <c r="BI31" s="308"/>
      <c r="BJ31" s="308">
        <f t="shared" si="23"/>
        <v>0</v>
      </c>
      <c r="BK31" s="310"/>
      <c r="BL31" s="311">
        <f t="shared" si="24"/>
        <v>0</v>
      </c>
    </row>
    <row r="32" spans="2:64" s="188" customFormat="1" ht="37" customHeight="1" x14ac:dyDescent="0.35">
      <c r="B32" s="300" t="str">
        <f>IF(ISBLANK($E32)," ",IF(AND(COUNTA(E$8:$E32)+64&gt;72,COUNTA(E$8:$E32)+64&lt;78),CHAR(COUNTA(E$8:$E32)+65),IF(COUNTA(E$8:$E32)+64&gt;77,CHAR(COUNTA(E$8:$E32)+66),CHAR(COUNTA(E$8:$E32)+64))))</f>
        <v>Q</v>
      </c>
      <c r="C32" s="325" t="s">
        <v>117</v>
      </c>
      <c r="D32" s="302" t="s">
        <v>103</v>
      </c>
      <c r="E32" s="303">
        <v>154</v>
      </c>
      <c r="F32" s="304">
        <v>520.20000000000005</v>
      </c>
      <c r="G32" s="305">
        <v>80110.8</v>
      </c>
      <c r="H32" s="306">
        <v>964</v>
      </c>
      <c r="I32" s="307">
        <v>154</v>
      </c>
      <c r="J32" s="308">
        <f t="shared" si="25"/>
        <v>148456</v>
      </c>
      <c r="K32" s="308"/>
      <c r="L32" s="308">
        <f t="shared" si="0"/>
        <v>0</v>
      </c>
      <c r="M32" s="308"/>
      <c r="N32" s="309">
        <f t="shared" si="1"/>
        <v>0</v>
      </c>
      <c r="O32" s="310"/>
      <c r="P32" s="311">
        <f t="shared" si="2"/>
        <v>0</v>
      </c>
      <c r="Q32" s="310">
        <v>625</v>
      </c>
      <c r="R32" s="311">
        <f t="shared" si="3"/>
        <v>96250</v>
      </c>
      <c r="S32" s="310"/>
      <c r="T32" s="311">
        <f t="shared" si="4"/>
        <v>0</v>
      </c>
      <c r="U32" s="306">
        <v>708</v>
      </c>
      <c r="V32" s="307">
        <v>154</v>
      </c>
      <c r="W32" s="308">
        <f t="shared" si="26"/>
        <v>109032</v>
      </c>
      <c r="X32" s="307"/>
      <c r="Y32" s="308">
        <f t="shared" si="5"/>
        <v>0</v>
      </c>
      <c r="Z32" s="307"/>
      <c r="AA32" s="308">
        <f t="shared" si="6"/>
        <v>0</v>
      </c>
      <c r="AB32" s="307"/>
      <c r="AC32" s="308">
        <f t="shared" si="7"/>
        <v>0</v>
      </c>
      <c r="AD32" s="313"/>
      <c r="AE32" s="311">
        <f t="shared" si="8"/>
        <v>0</v>
      </c>
      <c r="AF32" s="306">
        <v>707</v>
      </c>
      <c r="AG32" s="314">
        <v>154</v>
      </c>
      <c r="AH32" s="312">
        <f t="shared" si="9"/>
        <v>108878</v>
      </c>
      <c r="AI32" s="310"/>
      <c r="AJ32" s="311">
        <f t="shared" si="10"/>
        <v>0</v>
      </c>
      <c r="AK32" s="306"/>
      <c r="AL32" s="308">
        <f t="shared" si="11"/>
        <v>0</v>
      </c>
      <c r="AM32" s="307"/>
      <c r="AN32" s="308">
        <f t="shared" si="12"/>
        <v>0</v>
      </c>
      <c r="AO32" s="308"/>
      <c r="AP32" s="308">
        <f t="shared" si="13"/>
        <v>0</v>
      </c>
      <c r="AQ32" s="308"/>
      <c r="AR32" s="308">
        <f t="shared" si="14"/>
        <v>0</v>
      </c>
      <c r="AS32" s="310"/>
      <c r="AT32" s="311">
        <f t="shared" si="15"/>
        <v>0</v>
      </c>
      <c r="AU32" s="306"/>
      <c r="AV32" s="312">
        <f t="shared" si="16"/>
        <v>0</v>
      </c>
      <c r="AW32" s="310"/>
      <c r="AX32" s="310">
        <f t="shared" si="17"/>
        <v>0</v>
      </c>
      <c r="AY32" s="308"/>
      <c r="AZ32" s="309">
        <f t="shared" si="18"/>
        <v>0</v>
      </c>
      <c r="BA32" s="306"/>
      <c r="BB32" s="312">
        <f t="shared" si="19"/>
        <v>0</v>
      </c>
      <c r="BC32" s="308"/>
      <c r="BD32" s="308">
        <f t="shared" si="20"/>
        <v>0</v>
      </c>
      <c r="BE32" s="310"/>
      <c r="BF32" s="311">
        <f t="shared" si="21"/>
        <v>0</v>
      </c>
      <c r="BG32" s="306"/>
      <c r="BH32" s="312">
        <f t="shared" si="22"/>
        <v>0</v>
      </c>
      <c r="BI32" s="308"/>
      <c r="BJ32" s="308">
        <f t="shared" si="23"/>
        <v>0</v>
      </c>
      <c r="BK32" s="310"/>
      <c r="BL32" s="311">
        <f t="shared" si="24"/>
        <v>0</v>
      </c>
    </row>
    <row r="33" spans="2:64" s="188" customFormat="1" ht="37" customHeight="1" x14ac:dyDescent="0.35">
      <c r="B33" s="300" t="str">
        <f>IF(ISBLANK($E33)," ",IF(AND(COUNTA(E$8:$E33)+64&gt;72,COUNTA(E$8:$E33)+64&lt;78),CHAR(COUNTA(E$8:$E33)+65),IF(COUNTA(E$8:$E33)+64&gt;77,CHAR(COUNTA(E$8:$E33)+66),CHAR(COUNTA(E$8:$E33)+64))))</f>
        <v>R</v>
      </c>
      <c r="C33" s="325" t="s">
        <v>118</v>
      </c>
      <c r="D33" s="302" t="s">
        <v>103</v>
      </c>
      <c r="E33" s="303">
        <v>74</v>
      </c>
      <c r="F33" s="304">
        <v>684.9</v>
      </c>
      <c r="G33" s="305">
        <v>51367.5</v>
      </c>
      <c r="H33" s="306">
        <v>1006</v>
      </c>
      <c r="I33" s="307">
        <v>74</v>
      </c>
      <c r="J33" s="308">
        <f t="shared" si="25"/>
        <v>74444</v>
      </c>
      <c r="K33" s="308"/>
      <c r="L33" s="308">
        <f t="shared" si="0"/>
        <v>0</v>
      </c>
      <c r="M33" s="308"/>
      <c r="N33" s="309">
        <f t="shared" si="1"/>
        <v>0</v>
      </c>
      <c r="O33" s="310"/>
      <c r="P33" s="311">
        <f t="shared" si="2"/>
        <v>0</v>
      </c>
      <c r="Q33" s="310">
        <v>450</v>
      </c>
      <c r="R33" s="311">
        <f t="shared" si="3"/>
        <v>33300</v>
      </c>
      <c r="S33" s="310"/>
      <c r="T33" s="311">
        <f t="shared" si="4"/>
        <v>0</v>
      </c>
      <c r="U33" s="306">
        <v>863</v>
      </c>
      <c r="V33" s="307">
        <v>75</v>
      </c>
      <c r="W33" s="308">
        <f t="shared" si="26"/>
        <v>64725</v>
      </c>
      <c r="X33" s="307"/>
      <c r="Y33" s="308">
        <f t="shared" si="5"/>
        <v>0</v>
      </c>
      <c r="Z33" s="307"/>
      <c r="AA33" s="308">
        <f t="shared" si="6"/>
        <v>0</v>
      </c>
      <c r="AB33" s="307"/>
      <c r="AC33" s="308">
        <f t="shared" si="7"/>
        <v>0</v>
      </c>
      <c r="AD33" s="313"/>
      <c r="AE33" s="311">
        <f t="shared" si="8"/>
        <v>0</v>
      </c>
      <c r="AF33" s="306">
        <v>427</v>
      </c>
      <c r="AG33" s="314">
        <v>74</v>
      </c>
      <c r="AH33" s="312">
        <f t="shared" si="9"/>
        <v>31598</v>
      </c>
      <c r="AI33" s="310"/>
      <c r="AJ33" s="311">
        <f t="shared" si="10"/>
        <v>0</v>
      </c>
      <c r="AK33" s="306"/>
      <c r="AL33" s="308">
        <f t="shared" si="11"/>
        <v>0</v>
      </c>
      <c r="AM33" s="307"/>
      <c r="AN33" s="308">
        <f t="shared" si="12"/>
        <v>0</v>
      </c>
      <c r="AO33" s="308"/>
      <c r="AP33" s="308">
        <f t="shared" si="13"/>
        <v>0</v>
      </c>
      <c r="AQ33" s="308"/>
      <c r="AR33" s="308">
        <f t="shared" si="14"/>
        <v>0</v>
      </c>
      <c r="AS33" s="310"/>
      <c r="AT33" s="311">
        <f t="shared" si="15"/>
        <v>0</v>
      </c>
      <c r="AU33" s="306"/>
      <c r="AV33" s="312">
        <f t="shared" si="16"/>
        <v>0</v>
      </c>
      <c r="AW33" s="310"/>
      <c r="AX33" s="310">
        <f t="shared" si="17"/>
        <v>0</v>
      </c>
      <c r="AY33" s="308"/>
      <c r="AZ33" s="309">
        <f t="shared" si="18"/>
        <v>0</v>
      </c>
      <c r="BA33" s="306"/>
      <c r="BB33" s="312">
        <f t="shared" si="19"/>
        <v>0</v>
      </c>
      <c r="BC33" s="308"/>
      <c r="BD33" s="308">
        <f t="shared" si="20"/>
        <v>0</v>
      </c>
      <c r="BE33" s="310"/>
      <c r="BF33" s="311">
        <f t="shared" si="21"/>
        <v>0</v>
      </c>
      <c r="BG33" s="306"/>
      <c r="BH33" s="312">
        <f t="shared" si="22"/>
        <v>0</v>
      </c>
      <c r="BI33" s="308"/>
      <c r="BJ33" s="308">
        <f t="shared" si="23"/>
        <v>0</v>
      </c>
      <c r="BK33" s="310"/>
      <c r="BL33" s="311">
        <f t="shared" si="24"/>
        <v>0</v>
      </c>
    </row>
    <row r="34" spans="2:64" s="188" customFormat="1" ht="37" customHeight="1" x14ac:dyDescent="0.35">
      <c r="B34" s="300" t="str">
        <f>IF(ISBLANK($E34)," ",IF(AND(COUNTA(E$8:$E34)+64&gt;72,COUNTA(E$8:$E34)+64&lt;78),CHAR(COUNTA(E$8:$E34)+65),IF(COUNTA(E$8:$E34)+64&gt;77,CHAR(COUNTA(E$8:$E34)+66),CHAR(COUNTA(E$8:$E34)+64))))</f>
        <v>S</v>
      </c>
      <c r="C34" s="315" t="s">
        <v>119</v>
      </c>
      <c r="D34" s="302" t="s">
        <v>103</v>
      </c>
      <c r="E34" s="303">
        <v>12</v>
      </c>
      <c r="F34" s="304">
        <v>384.3</v>
      </c>
      <c r="G34" s="305">
        <v>4995.9000000000005</v>
      </c>
      <c r="H34" s="306">
        <v>959</v>
      </c>
      <c r="I34" s="307">
        <v>12</v>
      </c>
      <c r="J34" s="308">
        <f t="shared" si="25"/>
        <v>11508</v>
      </c>
      <c r="K34" s="308"/>
      <c r="L34" s="308">
        <f t="shared" si="0"/>
        <v>0</v>
      </c>
      <c r="M34" s="308"/>
      <c r="N34" s="309">
        <f t="shared" si="1"/>
        <v>0</v>
      </c>
      <c r="O34" s="310"/>
      <c r="P34" s="311">
        <f t="shared" si="2"/>
        <v>0</v>
      </c>
      <c r="Q34" s="310">
        <v>620</v>
      </c>
      <c r="R34" s="311">
        <f t="shared" si="3"/>
        <v>7440</v>
      </c>
      <c r="S34" s="310"/>
      <c r="T34" s="311">
        <f t="shared" si="4"/>
        <v>0</v>
      </c>
      <c r="U34" s="306">
        <v>666</v>
      </c>
      <c r="V34" s="307">
        <v>13</v>
      </c>
      <c r="W34" s="308">
        <f t="shared" si="26"/>
        <v>8658</v>
      </c>
      <c r="X34" s="307"/>
      <c r="Y34" s="308">
        <f t="shared" si="5"/>
        <v>0</v>
      </c>
      <c r="Z34" s="307"/>
      <c r="AA34" s="308">
        <f t="shared" si="6"/>
        <v>0</v>
      </c>
      <c r="AB34" s="307"/>
      <c r="AC34" s="308">
        <f t="shared" si="7"/>
        <v>0</v>
      </c>
      <c r="AD34" s="313"/>
      <c r="AE34" s="311">
        <f t="shared" si="8"/>
        <v>0</v>
      </c>
      <c r="AF34" s="306">
        <v>572</v>
      </c>
      <c r="AG34" s="314">
        <v>12</v>
      </c>
      <c r="AH34" s="312">
        <f t="shared" si="9"/>
        <v>6864</v>
      </c>
      <c r="AI34" s="310"/>
      <c r="AJ34" s="311">
        <f t="shared" si="10"/>
        <v>0</v>
      </c>
      <c r="AK34" s="306"/>
      <c r="AL34" s="308">
        <f t="shared" si="11"/>
        <v>0</v>
      </c>
      <c r="AM34" s="307"/>
      <c r="AN34" s="308">
        <f t="shared" si="12"/>
        <v>0</v>
      </c>
      <c r="AO34" s="308"/>
      <c r="AP34" s="308">
        <f t="shared" si="13"/>
        <v>0</v>
      </c>
      <c r="AQ34" s="308"/>
      <c r="AR34" s="308">
        <f t="shared" si="14"/>
        <v>0</v>
      </c>
      <c r="AS34" s="310"/>
      <c r="AT34" s="311">
        <f t="shared" si="15"/>
        <v>0</v>
      </c>
      <c r="AU34" s="306"/>
      <c r="AV34" s="312">
        <f t="shared" si="16"/>
        <v>0</v>
      </c>
      <c r="AW34" s="310"/>
      <c r="AX34" s="310">
        <f t="shared" si="17"/>
        <v>0</v>
      </c>
      <c r="AY34" s="308"/>
      <c r="AZ34" s="309">
        <f t="shared" si="18"/>
        <v>0</v>
      </c>
      <c r="BA34" s="306"/>
      <c r="BB34" s="312">
        <f t="shared" si="19"/>
        <v>0</v>
      </c>
      <c r="BC34" s="308"/>
      <c r="BD34" s="308">
        <f t="shared" si="20"/>
        <v>0</v>
      </c>
      <c r="BE34" s="310"/>
      <c r="BF34" s="311">
        <f t="shared" si="21"/>
        <v>0</v>
      </c>
      <c r="BG34" s="306"/>
      <c r="BH34" s="312">
        <f t="shared" si="22"/>
        <v>0</v>
      </c>
      <c r="BI34" s="308"/>
      <c r="BJ34" s="308">
        <f t="shared" si="23"/>
        <v>0</v>
      </c>
      <c r="BK34" s="310"/>
      <c r="BL34" s="311">
        <f t="shared" si="24"/>
        <v>0</v>
      </c>
    </row>
    <row r="35" spans="2:64" s="188" customFormat="1" ht="37" customHeight="1" x14ac:dyDescent="0.35">
      <c r="B35" s="300" t="str">
        <f>IF(ISBLANK($E35)," ",IF(AND(COUNTA(E$8:$E35)+64&gt;72,COUNTA(E$8:$E35)+64&lt;78),CHAR(COUNTA(E$8:$E35)+65),IF(COUNTA(E$8:$E35)+64&gt;77,CHAR(COUNTA(E$8:$E35)+66),CHAR(COUNTA(E$8:$E35)+64))))</f>
        <v>T</v>
      </c>
      <c r="C35" s="315" t="s">
        <v>120</v>
      </c>
      <c r="D35" s="302" t="s">
        <v>103</v>
      </c>
      <c r="E35" s="303">
        <v>64</v>
      </c>
      <c r="F35" s="304">
        <v>524.70000000000005</v>
      </c>
      <c r="G35" s="305">
        <v>33580.800000000003</v>
      </c>
      <c r="H35" s="306">
        <v>1002</v>
      </c>
      <c r="I35" s="307">
        <v>64</v>
      </c>
      <c r="J35" s="308">
        <f t="shared" si="25"/>
        <v>64128</v>
      </c>
      <c r="K35" s="308"/>
      <c r="L35" s="308">
        <f t="shared" si="0"/>
        <v>0</v>
      </c>
      <c r="M35" s="308"/>
      <c r="N35" s="309">
        <f t="shared" si="1"/>
        <v>0</v>
      </c>
      <c r="O35" s="310"/>
      <c r="P35" s="311">
        <f t="shared" si="2"/>
        <v>0</v>
      </c>
      <c r="Q35" s="310">
        <v>620</v>
      </c>
      <c r="R35" s="311">
        <f t="shared" si="3"/>
        <v>39680</v>
      </c>
      <c r="S35" s="310"/>
      <c r="T35" s="311">
        <f t="shared" si="4"/>
        <v>0</v>
      </c>
      <c r="U35" s="306">
        <v>775</v>
      </c>
      <c r="V35" s="307">
        <v>64</v>
      </c>
      <c r="W35" s="308">
        <f t="shared" si="26"/>
        <v>49600</v>
      </c>
      <c r="X35" s="307"/>
      <c r="Y35" s="308">
        <f t="shared" si="5"/>
        <v>0</v>
      </c>
      <c r="Z35" s="307"/>
      <c r="AA35" s="308">
        <f t="shared" si="6"/>
        <v>0</v>
      </c>
      <c r="AB35" s="307"/>
      <c r="AC35" s="308">
        <f t="shared" si="7"/>
        <v>0</v>
      </c>
      <c r="AD35" s="313"/>
      <c r="AE35" s="311">
        <f t="shared" si="8"/>
        <v>0</v>
      </c>
      <c r="AF35" s="306">
        <v>628</v>
      </c>
      <c r="AG35" s="314">
        <v>64</v>
      </c>
      <c r="AH35" s="312">
        <f t="shared" si="9"/>
        <v>40192</v>
      </c>
      <c r="AI35" s="310"/>
      <c r="AJ35" s="311">
        <f t="shared" si="10"/>
        <v>0</v>
      </c>
      <c r="AK35" s="306"/>
      <c r="AL35" s="308">
        <f t="shared" si="11"/>
        <v>0</v>
      </c>
      <c r="AM35" s="307"/>
      <c r="AN35" s="308">
        <f t="shared" si="12"/>
        <v>0</v>
      </c>
      <c r="AO35" s="308"/>
      <c r="AP35" s="308">
        <f t="shared" si="13"/>
        <v>0</v>
      </c>
      <c r="AQ35" s="308"/>
      <c r="AR35" s="308">
        <f t="shared" si="14"/>
        <v>0</v>
      </c>
      <c r="AS35" s="310"/>
      <c r="AT35" s="311">
        <f t="shared" si="15"/>
        <v>0</v>
      </c>
      <c r="AU35" s="306"/>
      <c r="AV35" s="312">
        <f t="shared" si="16"/>
        <v>0</v>
      </c>
      <c r="AW35" s="310"/>
      <c r="AX35" s="310">
        <f t="shared" si="17"/>
        <v>0</v>
      </c>
      <c r="AY35" s="308"/>
      <c r="AZ35" s="309">
        <f t="shared" si="18"/>
        <v>0</v>
      </c>
      <c r="BA35" s="306"/>
      <c r="BB35" s="312">
        <f t="shared" si="19"/>
        <v>0</v>
      </c>
      <c r="BC35" s="308"/>
      <c r="BD35" s="308">
        <f t="shared" si="20"/>
        <v>0</v>
      </c>
      <c r="BE35" s="310"/>
      <c r="BF35" s="311">
        <f t="shared" si="21"/>
        <v>0</v>
      </c>
      <c r="BG35" s="306"/>
      <c r="BH35" s="312">
        <f t="shared" si="22"/>
        <v>0</v>
      </c>
      <c r="BI35" s="308"/>
      <c r="BJ35" s="308">
        <f t="shared" si="23"/>
        <v>0</v>
      </c>
      <c r="BK35" s="310"/>
      <c r="BL35" s="311">
        <f t="shared" si="24"/>
        <v>0</v>
      </c>
    </row>
    <row r="36" spans="2:64" s="188" customFormat="1" ht="37" customHeight="1" x14ac:dyDescent="0.35">
      <c r="B36" s="300" t="str">
        <f>IF(ISBLANK($E36)," ",IF(AND(COUNTA(E$8:$E36)+64&gt;72,COUNTA(E$8:$E36)+64&lt;78),CHAR(COUNTA(E$8:$E36)+65),IF(COUNTA(E$8:$E36)+64&gt;77,CHAR(COUNTA(E$8:$E36)+66),CHAR(COUNTA(E$8:$E36)+64))))</f>
        <v>U</v>
      </c>
      <c r="C36" s="325" t="s">
        <v>121</v>
      </c>
      <c r="D36" s="302" t="s">
        <v>103</v>
      </c>
      <c r="E36" s="303">
        <v>39</v>
      </c>
      <c r="F36" s="304">
        <v>242.1</v>
      </c>
      <c r="G36" s="305">
        <v>9684</v>
      </c>
      <c r="H36" s="306">
        <v>151</v>
      </c>
      <c r="I36" s="307">
        <v>39</v>
      </c>
      <c r="J36" s="308">
        <f t="shared" si="25"/>
        <v>5889</v>
      </c>
      <c r="K36" s="308"/>
      <c r="L36" s="308">
        <f t="shared" si="0"/>
        <v>0</v>
      </c>
      <c r="M36" s="308"/>
      <c r="N36" s="309">
        <f t="shared" si="1"/>
        <v>0</v>
      </c>
      <c r="O36" s="310"/>
      <c r="P36" s="311">
        <f t="shared" si="2"/>
        <v>0</v>
      </c>
      <c r="Q36" s="310">
        <v>320</v>
      </c>
      <c r="R36" s="311">
        <f t="shared" si="3"/>
        <v>12480</v>
      </c>
      <c r="S36" s="310"/>
      <c r="T36" s="311">
        <f t="shared" si="4"/>
        <v>0</v>
      </c>
      <c r="U36" s="306">
        <v>305</v>
      </c>
      <c r="V36" s="307">
        <v>40</v>
      </c>
      <c r="W36" s="308">
        <f t="shared" si="26"/>
        <v>12200</v>
      </c>
      <c r="X36" s="307"/>
      <c r="Y36" s="308">
        <f t="shared" si="5"/>
        <v>0</v>
      </c>
      <c r="Z36" s="307"/>
      <c r="AA36" s="308">
        <f t="shared" si="6"/>
        <v>0</v>
      </c>
      <c r="AB36" s="307"/>
      <c r="AC36" s="308">
        <f t="shared" si="7"/>
        <v>0</v>
      </c>
      <c r="AD36" s="313"/>
      <c r="AE36" s="311">
        <f t="shared" si="8"/>
        <v>0</v>
      </c>
      <c r="AF36" s="306">
        <v>399</v>
      </c>
      <c r="AG36" s="314">
        <v>39</v>
      </c>
      <c r="AH36" s="312">
        <f t="shared" si="9"/>
        <v>15561</v>
      </c>
      <c r="AI36" s="310"/>
      <c r="AJ36" s="311">
        <f t="shared" si="10"/>
        <v>0</v>
      </c>
      <c r="AK36" s="306"/>
      <c r="AL36" s="308">
        <f t="shared" si="11"/>
        <v>0</v>
      </c>
      <c r="AM36" s="307"/>
      <c r="AN36" s="308">
        <f t="shared" si="12"/>
        <v>0</v>
      </c>
      <c r="AO36" s="308"/>
      <c r="AP36" s="308">
        <f t="shared" si="13"/>
        <v>0</v>
      </c>
      <c r="AQ36" s="308"/>
      <c r="AR36" s="308">
        <f t="shared" si="14"/>
        <v>0</v>
      </c>
      <c r="AS36" s="310"/>
      <c r="AT36" s="311">
        <f t="shared" si="15"/>
        <v>0</v>
      </c>
      <c r="AU36" s="306"/>
      <c r="AV36" s="312">
        <f t="shared" si="16"/>
        <v>0</v>
      </c>
      <c r="AW36" s="310"/>
      <c r="AX36" s="310">
        <f t="shared" si="17"/>
        <v>0</v>
      </c>
      <c r="AY36" s="308"/>
      <c r="AZ36" s="309">
        <f t="shared" si="18"/>
        <v>0</v>
      </c>
      <c r="BA36" s="306"/>
      <c r="BB36" s="312">
        <f t="shared" si="19"/>
        <v>0</v>
      </c>
      <c r="BC36" s="308"/>
      <c r="BD36" s="308">
        <f t="shared" si="20"/>
        <v>0</v>
      </c>
      <c r="BE36" s="310"/>
      <c r="BF36" s="311">
        <f t="shared" si="21"/>
        <v>0</v>
      </c>
      <c r="BG36" s="306"/>
      <c r="BH36" s="312">
        <f t="shared" si="22"/>
        <v>0</v>
      </c>
      <c r="BI36" s="308"/>
      <c r="BJ36" s="308">
        <f t="shared" si="23"/>
        <v>0</v>
      </c>
      <c r="BK36" s="310"/>
      <c r="BL36" s="311">
        <f t="shared" si="24"/>
        <v>0</v>
      </c>
    </row>
    <row r="37" spans="2:64" s="188" customFormat="1" ht="37" customHeight="1" x14ac:dyDescent="0.35">
      <c r="B37" s="300" t="str">
        <f>IF(ISBLANK($E37)," ",IF(AND(COUNTA(E$35:$E37)+64&gt;72,COUNTA(E$35:$E37)+64&lt;78),CHAR(COUNTA(E$35:$E37)+65),IF(COUNTA(E$35:$E37)+64&gt;77,CHAR(COUNTA(E$35:$E37)+66),CHAR(COUNTA(E$35:$E37)+64))))</f>
        <v>C</v>
      </c>
      <c r="C37" s="316" t="s">
        <v>122</v>
      </c>
      <c r="D37" s="302" t="s">
        <v>103</v>
      </c>
      <c r="E37" s="303">
        <v>46</v>
      </c>
      <c r="F37" s="304">
        <v>165.6</v>
      </c>
      <c r="G37" s="305">
        <v>7617.5999999999995</v>
      </c>
      <c r="H37" s="306">
        <v>457</v>
      </c>
      <c r="I37" s="307">
        <v>46</v>
      </c>
      <c r="J37" s="308">
        <f t="shared" si="25"/>
        <v>21022</v>
      </c>
      <c r="K37" s="308"/>
      <c r="L37" s="308">
        <f t="shared" si="0"/>
        <v>0</v>
      </c>
      <c r="M37" s="308"/>
      <c r="N37" s="309">
        <f t="shared" si="1"/>
        <v>0</v>
      </c>
      <c r="O37" s="310"/>
      <c r="P37" s="311">
        <f t="shared" si="2"/>
        <v>0</v>
      </c>
      <c r="Q37" s="310">
        <v>410</v>
      </c>
      <c r="R37" s="311">
        <f t="shared" si="3"/>
        <v>18860</v>
      </c>
      <c r="S37" s="310"/>
      <c r="T37" s="311">
        <f t="shared" si="4"/>
        <v>0</v>
      </c>
      <c r="U37" s="306">
        <v>287</v>
      </c>
      <c r="V37" s="307">
        <v>46</v>
      </c>
      <c r="W37" s="308">
        <f t="shared" si="26"/>
        <v>13202</v>
      </c>
      <c r="X37" s="307"/>
      <c r="Y37" s="308">
        <f t="shared" si="5"/>
        <v>0</v>
      </c>
      <c r="Z37" s="307"/>
      <c r="AA37" s="308">
        <f t="shared" si="6"/>
        <v>0</v>
      </c>
      <c r="AB37" s="307"/>
      <c r="AC37" s="308">
        <f t="shared" si="7"/>
        <v>0</v>
      </c>
      <c r="AD37" s="313"/>
      <c r="AE37" s="311">
        <f t="shared" si="8"/>
        <v>0</v>
      </c>
      <c r="AF37" s="322"/>
      <c r="AG37" s="323">
        <v>46</v>
      </c>
      <c r="AH37" s="324">
        <f t="shared" si="9"/>
        <v>0</v>
      </c>
      <c r="AI37" s="310"/>
      <c r="AJ37" s="311">
        <f t="shared" si="10"/>
        <v>0</v>
      </c>
      <c r="AK37" s="306"/>
      <c r="AL37" s="308">
        <f t="shared" si="11"/>
        <v>0</v>
      </c>
      <c r="AM37" s="307"/>
      <c r="AN37" s="308">
        <f t="shared" si="12"/>
        <v>0</v>
      </c>
      <c r="AO37" s="308"/>
      <c r="AP37" s="308">
        <f t="shared" si="13"/>
        <v>0</v>
      </c>
      <c r="AQ37" s="308"/>
      <c r="AR37" s="308">
        <f t="shared" si="14"/>
        <v>0</v>
      </c>
      <c r="AS37" s="310"/>
      <c r="AT37" s="311">
        <f t="shared" si="15"/>
        <v>0</v>
      </c>
      <c r="AU37" s="306"/>
      <c r="AV37" s="312">
        <f t="shared" si="16"/>
        <v>0</v>
      </c>
      <c r="AW37" s="310"/>
      <c r="AX37" s="310">
        <f t="shared" si="17"/>
        <v>0</v>
      </c>
      <c r="AY37" s="308"/>
      <c r="AZ37" s="309">
        <f t="shared" si="18"/>
        <v>0</v>
      </c>
      <c r="BA37" s="306"/>
      <c r="BB37" s="312">
        <f t="shared" si="19"/>
        <v>0</v>
      </c>
      <c r="BC37" s="308"/>
      <c r="BD37" s="308">
        <f t="shared" si="20"/>
        <v>0</v>
      </c>
      <c r="BE37" s="310"/>
      <c r="BF37" s="311">
        <f t="shared" si="21"/>
        <v>0</v>
      </c>
      <c r="BG37" s="306"/>
      <c r="BH37" s="312">
        <f t="shared" si="22"/>
        <v>0</v>
      </c>
      <c r="BI37" s="308"/>
      <c r="BJ37" s="308">
        <f t="shared" si="23"/>
        <v>0</v>
      </c>
      <c r="BK37" s="310"/>
      <c r="BL37" s="311">
        <f t="shared" si="24"/>
        <v>0</v>
      </c>
    </row>
    <row r="38" spans="2:64" s="188" customFormat="1" ht="37" customHeight="1" x14ac:dyDescent="0.35">
      <c r="B38" s="300" t="str">
        <f>IF(ISBLANK($E38)," ",IF(AND(COUNTA(E$35:$E38)+64&gt;72,COUNTA(E$35:$E38)+64&lt;78),CHAR(COUNTA(E$35:$E38)+65),IF(COUNTA(E$35:$E38)+64&gt;77,CHAR(COUNTA(E$35:$E38)+66),CHAR(COUNTA(E$35:$E38)+64))))</f>
        <v>D</v>
      </c>
      <c r="C38" s="315" t="s">
        <v>123</v>
      </c>
      <c r="D38" s="302" t="s">
        <v>124</v>
      </c>
      <c r="E38" s="303">
        <v>423</v>
      </c>
      <c r="F38" s="304">
        <v>84.600000000000009</v>
      </c>
      <c r="G38" s="305">
        <v>45514.8</v>
      </c>
      <c r="H38" s="306">
        <v>752</v>
      </c>
      <c r="I38" s="307">
        <v>423</v>
      </c>
      <c r="J38" s="308">
        <f t="shared" si="25"/>
        <v>318096</v>
      </c>
      <c r="K38" s="308"/>
      <c r="L38" s="308">
        <f t="shared" si="0"/>
        <v>0</v>
      </c>
      <c r="M38" s="308"/>
      <c r="N38" s="309">
        <f t="shared" si="1"/>
        <v>0</v>
      </c>
      <c r="O38" s="310"/>
      <c r="P38" s="311">
        <f t="shared" si="2"/>
        <v>0</v>
      </c>
      <c r="Q38" s="310">
        <v>385</v>
      </c>
      <c r="R38" s="311">
        <f t="shared" si="3"/>
        <v>162855</v>
      </c>
      <c r="S38" s="310"/>
      <c r="T38" s="311">
        <f t="shared" si="4"/>
        <v>0</v>
      </c>
      <c r="U38" s="306">
        <v>106</v>
      </c>
      <c r="V38" s="307">
        <v>538</v>
      </c>
      <c r="W38" s="308">
        <f t="shared" si="26"/>
        <v>57028</v>
      </c>
      <c r="X38" s="307"/>
      <c r="Y38" s="308">
        <f t="shared" si="5"/>
        <v>0</v>
      </c>
      <c r="Z38" s="307"/>
      <c r="AA38" s="308">
        <f t="shared" si="6"/>
        <v>0</v>
      </c>
      <c r="AB38" s="307"/>
      <c r="AC38" s="308">
        <f t="shared" si="7"/>
        <v>0</v>
      </c>
      <c r="AD38" s="313"/>
      <c r="AE38" s="311">
        <f t="shared" si="8"/>
        <v>0</v>
      </c>
      <c r="AF38" s="306">
        <v>188</v>
      </c>
      <c r="AG38" s="314">
        <v>423</v>
      </c>
      <c r="AH38" s="312">
        <f t="shared" si="9"/>
        <v>79524</v>
      </c>
      <c r="AI38" s="310"/>
      <c r="AJ38" s="311">
        <f t="shared" si="10"/>
        <v>0</v>
      </c>
      <c r="AK38" s="306"/>
      <c r="AL38" s="308">
        <f t="shared" si="11"/>
        <v>0</v>
      </c>
      <c r="AM38" s="307"/>
      <c r="AN38" s="308">
        <f t="shared" si="12"/>
        <v>0</v>
      </c>
      <c r="AO38" s="308"/>
      <c r="AP38" s="308">
        <f t="shared" si="13"/>
        <v>0</v>
      </c>
      <c r="AQ38" s="308"/>
      <c r="AR38" s="308">
        <f t="shared" si="14"/>
        <v>0</v>
      </c>
      <c r="AS38" s="310"/>
      <c r="AT38" s="311">
        <f t="shared" si="15"/>
        <v>0</v>
      </c>
      <c r="AU38" s="306"/>
      <c r="AV38" s="312">
        <f t="shared" si="16"/>
        <v>0</v>
      </c>
      <c r="AW38" s="310"/>
      <c r="AX38" s="310">
        <f t="shared" si="17"/>
        <v>0</v>
      </c>
      <c r="AY38" s="308"/>
      <c r="AZ38" s="309">
        <f t="shared" si="18"/>
        <v>0</v>
      </c>
      <c r="BA38" s="306"/>
      <c r="BB38" s="312">
        <f t="shared" si="19"/>
        <v>0</v>
      </c>
      <c r="BC38" s="308"/>
      <c r="BD38" s="308">
        <f t="shared" si="20"/>
        <v>0</v>
      </c>
      <c r="BE38" s="310"/>
      <c r="BF38" s="311">
        <f t="shared" si="21"/>
        <v>0</v>
      </c>
      <c r="BG38" s="306"/>
      <c r="BH38" s="312">
        <f t="shared" si="22"/>
        <v>0</v>
      </c>
      <c r="BI38" s="308"/>
      <c r="BJ38" s="308">
        <f t="shared" si="23"/>
        <v>0</v>
      </c>
      <c r="BK38" s="310"/>
      <c r="BL38" s="311">
        <f t="shared" si="24"/>
        <v>0</v>
      </c>
    </row>
    <row r="39" spans="2:64" s="188" customFormat="1" ht="37" customHeight="1" x14ac:dyDescent="0.35">
      <c r="B39" s="300" t="str">
        <f>IF(ISBLANK($E39)," ",IF(AND(COUNTA(E$35:$E39)+64&gt;72,COUNTA(E$35:$E39)+64&lt;78),CHAR(COUNTA(E$35:$E39)+65),IF(COUNTA(E$35:$E39)+64&gt;77,CHAR(COUNTA(E$35:$E39)+66),CHAR(COUNTA(E$35:$E39)+64))))</f>
        <v>E</v>
      </c>
      <c r="C39" s="315" t="s">
        <v>125</v>
      </c>
      <c r="D39" s="302" t="s">
        <v>103</v>
      </c>
      <c r="E39" s="303">
        <v>320</v>
      </c>
      <c r="F39" s="304">
        <v>249.3</v>
      </c>
      <c r="G39" s="305">
        <v>79776</v>
      </c>
      <c r="H39" s="306">
        <v>458</v>
      </c>
      <c r="I39" s="307">
        <v>320</v>
      </c>
      <c r="J39" s="308">
        <f t="shared" si="25"/>
        <v>146560</v>
      </c>
      <c r="K39" s="308"/>
      <c r="L39" s="308">
        <f t="shared" si="0"/>
        <v>0</v>
      </c>
      <c r="M39" s="308"/>
      <c r="N39" s="309">
        <f t="shared" si="1"/>
        <v>0</v>
      </c>
      <c r="O39" s="310"/>
      <c r="P39" s="311">
        <f t="shared" si="2"/>
        <v>0</v>
      </c>
      <c r="Q39" s="310">
        <v>385</v>
      </c>
      <c r="R39" s="311">
        <f t="shared" si="3"/>
        <v>123200</v>
      </c>
      <c r="S39" s="310"/>
      <c r="T39" s="311">
        <f t="shared" si="4"/>
        <v>0</v>
      </c>
      <c r="U39" s="306">
        <v>329</v>
      </c>
      <c r="V39" s="307">
        <v>320</v>
      </c>
      <c r="W39" s="308">
        <f t="shared" si="26"/>
        <v>105280</v>
      </c>
      <c r="X39" s="307"/>
      <c r="Y39" s="308">
        <f t="shared" si="5"/>
        <v>0</v>
      </c>
      <c r="Z39" s="307"/>
      <c r="AA39" s="308">
        <f t="shared" si="6"/>
        <v>0</v>
      </c>
      <c r="AB39" s="307"/>
      <c r="AC39" s="308">
        <f t="shared" si="7"/>
        <v>0</v>
      </c>
      <c r="AD39" s="313"/>
      <c r="AE39" s="311">
        <f t="shared" si="8"/>
        <v>0</v>
      </c>
      <c r="AF39" s="306">
        <v>404</v>
      </c>
      <c r="AG39" s="314">
        <v>320</v>
      </c>
      <c r="AH39" s="312">
        <f t="shared" si="9"/>
        <v>129280</v>
      </c>
      <c r="AI39" s="310"/>
      <c r="AJ39" s="311">
        <f t="shared" si="10"/>
        <v>0</v>
      </c>
      <c r="AK39" s="306"/>
      <c r="AL39" s="308">
        <f t="shared" si="11"/>
        <v>0</v>
      </c>
      <c r="AM39" s="307"/>
      <c r="AN39" s="308">
        <f t="shared" si="12"/>
        <v>0</v>
      </c>
      <c r="AO39" s="308"/>
      <c r="AP39" s="308">
        <f t="shared" si="13"/>
        <v>0</v>
      </c>
      <c r="AQ39" s="308"/>
      <c r="AR39" s="308">
        <f t="shared" si="14"/>
        <v>0</v>
      </c>
      <c r="AS39" s="310"/>
      <c r="AT39" s="311">
        <f t="shared" si="15"/>
        <v>0</v>
      </c>
      <c r="AU39" s="306"/>
      <c r="AV39" s="312">
        <f t="shared" si="16"/>
        <v>0</v>
      </c>
      <c r="AW39" s="310"/>
      <c r="AX39" s="310">
        <f t="shared" si="17"/>
        <v>0</v>
      </c>
      <c r="AY39" s="308"/>
      <c r="AZ39" s="309">
        <f t="shared" si="18"/>
        <v>0</v>
      </c>
      <c r="BA39" s="306"/>
      <c r="BB39" s="312">
        <f t="shared" si="19"/>
        <v>0</v>
      </c>
      <c r="BC39" s="308"/>
      <c r="BD39" s="308">
        <f t="shared" si="20"/>
        <v>0</v>
      </c>
      <c r="BE39" s="310"/>
      <c r="BF39" s="311">
        <f t="shared" si="21"/>
        <v>0</v>
      </c>
      <c r="BG39" s="306"/>
      <c r="BH39" s="312">
        <f t="shared" si="22"/>
        <v>0</v>
      </c>
      <c r="BI39" s="308"/>
      <c r="BJ39" s="308">
        <f t="shared" si="23"/>
        <v>0</v>
      </c>
      <c r="BK39" s="310"/>
      <c r="BL39" s="311">
        <f t="shared" si="24"/>
        <v>0</v>
      </c>
    </row>
    <row r="40" spans="2:64" s="188" customFormat="1" ht="40" customHeight="1" x14ac:dyDescent="0.35">
      <c r="B40" s="328" t="s">
        <v>126</v>
      </c>
      <c r="C40" s="315" t="s">
        <v>125</v>
      </c>
      <c r="D40" s="329" t="s">
        <v>103</v>
      </c>
      <c r="E40" s="330">
        <v>8</v>
      </c>
      <c r="F40" s="331"/>
      <c r="G40" s="305"/>
      <c r="H40" s="332"/>
      <c r="I40" s="333"/>
      <c r="J40" s="334"/>
      <c r="K40" s="334"/>
      <c r="L40" s="334"/>
      <c r="M40" s="334"/>
      <c r="N40" s="335"/>
      <c r="O40" s="336"/>
      <c r="P40" s="337"/>
      <c r="Q40" s="336"/>
      <c r="R40" s="337">
        <f t="shared" si="3"/>
        <v>0</v>
      </c>
      <c r="S40" s="336"/>
      <c r="T40" s="337">
        <f t="shared" si="4"/>
        <v>0</v>
      </c>
      <c r="U40" s="332">
        <v>328</v>
      </c>
      <c r="V40" s="338">
        <v>8</v>
      </c>
      <c r="W40" s="339">
        <f t="shared" si="26"/>
        <v>2624</v>
      </c>
      <c r="X40" s="334"/>
      <c r="Y40" s="339"/>
      <c r="Z40" s="334"/>
      <c r="AA40" s="339"/>
      <c r="AB40" s="308"/>
      <c r="AC40" s="334"/>
      <c r="AD40" s="310"/>
      <c r="AE40" s="337"/>
      <c r="AF40" s="332">
        <v>572</v>
      </c>
      <c r="AG40" s="338">
        <v>8</v>
      </c>
      <c r="AH40" s="339">
        <f t="shared" si="9"/>
        <v>4576</v>
      </c>
      <c r="AI40" s="336"/>
      <c r="AJ40" s="337"/>
      <c r="AK40" s="332"/>
      <c r="AL40" s="334"/>
      <c r="AM40" s="333"/>
      <c r="AN40" s="334"/>
      <c r="AO40" s="334"/>
      <c r="AP40" s="334"/>
      <c r="AQ40" s="340"/>
      <c r="AR40" s="334"/>
      <c r="AS40" s="336"/>
      <c r="AT40" s="337"/>
      <c r="AU40" s="332"/>
      <c r="AV40" s="339"/>
      <c r="AW40" s="336"/>
      <c r="AX40" s="336"/>
      <c r="AY40" s="334"/>
      <c r="AZ40" s="335"/>
      <c r="BA40" s="332"/>
      <c r="BB40" s="339"/>
      <c r="BC40" s="334"/>
      <c r="BD40" s="339"/>
      <c r="BE40" s="336"/>
      <c r="BF40" s="337"/>
      <c r="BG40" s="332"/>
      <c r="BH40" s="341"/>
      <c r="BI40" s="334"/>
      <c r="BJ40" s="340"/>
      <c r="BK40" s="336"/>
      <c r="BL40" s="337"/>
    </row>
    <row r="41" spans="2:64" s="188" customFormat="1" ht="37" customHeight="1" x14ac:dyDescent="0.35">
      <c r="B41" s="300" t="str">
        <f>IF(ISBLANK($E41)," ",IF(AND(COUNTA(E$35:$E41)+64&gt;72,COUNTA(E$35:$E41)+64&lt;78),CHAR(COUNTA(E$35:$E41)+65),IF(COUNTA(E$35:$E41)+64&gt;77,CHAR(COUNTA(E$35:$E41)+66),CHAR(COUNTA(E$35:$E41)+64))))</f>
        <v>G</v>
      </c>
      <c r="C41" s="315" t="s">
        <v>127</v>
      </c>
      <c r="D41" s="302" t="s">
        <v>124</v>
      </c>
      <c r="E41" s="303">
        <v>18</v>
      </c>
      <c r="F41" s="304">
        <v>3427.2000000000003</v>
      </c>
      <c r="G41" s="305">
        <v>61689.600000000006</v>
      </c>
      <c r="H41" s="317"/>
      <c r="I41" s="318">
        <v>18</v>
      </c>
      <c r="J41" s="319">
        <f t="shared" si="25"/>
        <v>0</v>
      </c>
      <c r="K41" s="308"/>
      <c r="L41" s="308">
        <f t="shared" ref="L41:L49" si="27">K41*$E41</f>
        <v>0</v>
      </c>
      <c r="M41" s="308"/>
      <c r="N41" s="309">
        <f t="shared" ref="N41:N49" si="28">M41*$E41</f>
        <v>0</v>
      </c>
      <c r="O41" s="310"/>
      <c r="P41" s="311">
        <f t="shared" ref="P41:P49" si="29">O41*$E41</f>
        <v>0</v>
      </c>
      <c r="Q41" s="310">
        <v>795</v>
      </c>
      <c r="R41" s="311">
        <f t="shared" si="3"/>
        <v>14310</v>
      </c>
      <c r="S41" s="310"/>
      <c r="T41" s="311">
        <f t="shared" si="4"/>
        <v>0</v>
      </c>
      <c r="U41" s="317"/>
      <c r="V41" s="318">
        <v>18</v>
      </c>
      <c r="W41" s="319">
        <f t="shared" si="26"/>
        <v>0</v>
      </c>
      <c r="X41" s="307"/>
      <c r="Y41" s="308">
        <f t="shared" ref="Y41:Y49" si="30">X41*$E41</f>
        <v>0</v>
      </c>
      <c r="Z41" s="307"/>
      <c r="AA41" s="308">
        <f t="shared" ref="AA41:AA49" si="31">Z41*$E41</f>
        <v>0</v>
      </c>
      <c r="AB41" s="307"/>
      <c r="AC41" s="308">
        <f t="shared" ref="AC41:AC49" si="32">AB41*$E41</f>
        <v>0</v>
      </c>
      <c r="AD41" s="313"/>
      <c r="AE41" s="311">
        <f t="shared" ref="AE41:AE49" si="33">AD41*$E41</f>
        <v>0</v>
      </c>
      <c r="AF41" s="322"/>
      <c r="AG41" s="323">
        <v>18</v>
      </c>
      <c r="AH41" s="324">
        <f t="shared" si="9"/>
        <v>0</v>
      </c>
      <c r="AI41" s="310"/>
      <c r="AJ41" s="311">
        <f t="shared" ref="AJ41:AJ49" si="34">AI41*$E41</f>
        <v>0</v>
      </c>
      <c r="AK41" s="306"/>
      <c r="AL41" s="308">
        <f t="shared" ref="AL41:AL49" si="35">AK41*$E41</f>
        <v>0</v>
      </c>
      <c r="AM41" s="307"/>
      <c r="AN41" s="308">
        <f t="shared" ref="AN41:AN49" si="36">AM41*$E41</f>
        <v>0</v>
      </c>
      <c r="AO41" s="308"/>
      <c r="AP41" s="308">
        <f t="shared" ref="AP41:AP49" si="37">AO41*$E41</f>
        <v>0</v>
      </c>
      <c r="AQ41" s="308"/>
      <c r="AR41" s="308">
        <f t="shared" ref="AR41:AR49" si="38">AQ41*$E41</f>
        <v>0</v>
      </c>
      <c r="AS41" s="310"/>
      <c r="AT41" s="311">
        <f t="shared" ref="AT41:AT49" si="39">AS41*$E41</f>
        <v>0</v>
      </c>
      <c r="AU41" s="306"/>
      <c r="AV41" s="312">
        <f t="shared" ref="AV41:AV49" si="40">AU41*$E41</f>
        <v>0</v>
      </c>
      <c r="AW41" s="310"/>
      <c r="AX41" s="310">
        <f t="shared" ref="AX41:AX49" si="41">AW41*$E41</f>
        <v>0</v>
      </c>
      <c r="AY41" s="308"/>
      <c r="AZ41" s="309">
        <f t="shared" ref="AZ41:AZ49" si="42">AY41*$E41</f>
        <v>0</v>
      </c>
      <c r="BA41" s="306"/>
      <c r="BB41" s="312">
        <f t="shared" ref="BB41:BB49" si="43">BA41*$E41</f>
        <v>0</v>
      </c>
      <c r="BC41" s="308"/>
      <c r="BD41" s="308">
        <f t="shared" ref="BD41:BD49" si="44">BC41*$E41</f>
        <v>0</v>
      </c>
      <c r="BE41" s="310"/>
      <c r="BF41" s="311">
        <f t="shared" ref="BF41:BF49" si="45">BE41*$E41</f>
        <v>0</v>
      </c>
      <c r="BG41" s="306"/>
      <c r="BH41" s="312">
        <f t="shared" ref="BH41:BH49" si="46">BG41*$E41</f>
        <v>0</v>
      </c>
      <c r="BI41" s="308"/>
      <c r="BJ41" s="308">
        <f t="shared" ref="BJ41:BJ49" si="47">BI41*$E41</f>
        <v>0</v>
      </c>
      <c r="BK41" s="310"/>
      <c r="BL41" s="311">
        <f t="shared" ref="BL41:BL49" si="48">BK41*$E41</f>
        <v>0</v>
      </c>
    </row>
    <row r="42" spans="2:64" s="188" customFormat="1" ht="37" customHeight="1" x14ac:dyDescent="0.35">
      <c r="B42" s="300" t="str">
        <f>IF(ISBLANK($E42)," ",IF(AND(COUNTA(E$35:$E42)+64&gt;72,COUNTA(E$35:$E42)+64&lt;78),CHAR(COUNTA(E$35:$E42)+65),IF(COUNTA(E$35:$E42)+64&gt;77,CHAR(COUNTA(E$35:$E42)+66),CHAR(COUNTA(E$35:$E42)+64))))</f>
        <v>H</v>
      </c>
      <c r="C42" s="315" t="s">
        <v>128</v>
      </c>
      <c r="D42" s="302" t="s">
        <v>124</v>
      </c>
      <c r="E42" s="303">
        <v>18</v>
      </c>
      <c r="F42" s="304">
        <v>225</v>
      </c>
      <c r="G42" s="305">
        <v>4050</v>
      </c>
      <c r="H42" s="317"/>
      <c r="I42" s="318">
        <v>18</v>
      </c>
      <c r="J42" s="319">
        <f t="shared" si="25"/>
        <v>0</v>
      </c>
      <c r="K42" s="308"/>
      <c r="L42" s="308">
        <f t="shared" si="27"/>
        <v>0</v>
      </c>
      <c r="M42" s="308"/>
      <c r="N42" s="309">
        <f t="shared" si="28"/>
        <v>0</v>
      </c>
      <c r="O42" s="310"/>
      <c r="P42" s="311">
        <f t="shared" si="29"/>
        <v>0</v>
      </c>
      <c r="Q42" s="310">
        <v>1200</v>
      </c>
      <c r="R42" s="311">
        <f t="shared" si="3"/>
        <v>21600</v>
      </c>
      <c r="S42" s="310"/>
      <c r="T42" s="311">
        <f t="shared" si="4"/>
        <v>0</v>
      </c>
      <c r="U42" s="317"/>
      <c r="V42" s="318">
        <v>8</v>
      </c>
      <c r="W42" s="319">
        <f t="shared" si="26"/>
        <v>0</v>
      </c>
      <c r="X42" s="307"/>
      <c r="Y42" s="308">
        <f t="shared" si="30"/>
        <v>0</v>
      </c>
      <c r="Z42" s="307"/>
      <c r="AA42" s="308">
        <f t="shared" si="31"/>
        <v>0</v>
      </c>
      <c r="AB42" s="307"/>
      <c r="AC42" s="308">
        <f t="shared" si="32"/>
        <v>0</v>
      </c>
      <c r="AD42" s="313"/>
      <c r="AE42" s="311">
        <f t="shared" si="33"/>
        <v>0</v>
      </c>
      <c r="AF42" s="322"/>
      <c r="AG42" s="323">
        <v>18</v>
      </c>
      <c r="AH42" s="324">
        <f t="shared" si="9"/>
        <v>0</v>
      </c>
      <c r="AI42" s="310"/>
      <c r="AJ42" s="311">
        <f t="shared" si="34"/>
        <v>0</v>
      </c>
      <c r="AK42" s="306"/>
      <c r="AL42" s="308">
        <f t="shared" si="35"/>
        <v>0</v>
      </c>
      <c r="AM42" s="307"/>
      <c r="AN42" s="308">
        <f t="shared" si="36"/>
        <v>0</v>
      </c>
      <c r="AO42" s="308"/>
      <c r="AP42" s="308">
        <f t="shared" si="37"/>
        <v>0</v>
      </c>
      <c r="AQ42" s="308"/>
      <c r="AR42" s="308">
        <f t="shared" si="38"/>
        <v>0</v>
      </c>
      <c r="AS42" s="310"/>
      <c r="AT42" s="311">
        <f t="shared" si="39"/>
        <v>0</v>
      </c>
      <c r="AU42" s="306"/>
      <c r="AV42" s="312">
        <f t="shared" si="40"/>
        <v>0</v>
      </c>
      <c r="AW42" s="310"/>
      <c r="AX42" s="310">
        <f t="shared" si="41"/>
        <v>0</v>
      </c>
      <c r="AY42" s="308"/>
      <c r="AZ42" s="309">
        <f t="shared" si="42"/>
        <v>0</v>
      </c>
      <c r="BA42" s="306"/>
      <c r="BB42" s="312">
        <f t="shared" si="43"/>
        <v>0</v>
      </c>
      <c r="BC42" s="308"/>
      <c r="BD42" s="308">
        <f t="shared" si="44"/>
        <v>0</v>
      </c>
      <c r="BE42" s="310"/>
      <c r="BF42" s="311">
        <f t="shared" si="45"/>
        <v>0</v>
      </c>
      <c r="BG42" s="306"/>
      <c r="BH42" s="312">
        <f t="shared" si="46"/>
        <v>0</v>
      </c>
      <c r="BI42" s="308"/>
      <c r="BJ42" s="308">
        <f t="shared" si="47"/>
        <v>0</v>
      </c>
      <c r="BK42" s="310"/>
      <c r="BL42" s="311">
        <f t="shared" si="48"/>
        <v>0</v>
      </c>
    </row>
    <row r="43" spans="2:64" s="188" customFormat="1" ht="37" customHeight="1" x14ac:dyDescent="0.35">
      <c r="B43" s="300" t="str">
        <f>IF(ISBLANK($E43)," ",IF(AND(COUNTA(E$35:$E43)+64&gt;72,COUNTA(E$35:$E43)+64&lt;78),CHAR(COUNTA(E$35:$E43)+65),IF(COUNTA(E$35:$E43)+64&gt;77,CHAR(COUNTA(E$35:$E43)+66),CHAR(COUNTA(E$35:$E43)+64))))</f>
        <v>J</v>
      </c>
      <c r="C43" s="315" t="s">
        <v>129</v>
      </c>
      <c r="D43" s="302" t="s">
        <v>103</v>
      </c>
      <c r="E43" s="303">
        <v>44</v>
      </c>
      <c r="F43" s="304">
        <v>2621.7000000000003</v>
      </c>
      <c r="G43" s="305">
        <v>44568.9</v>
      </c>
      <c r="H43" s="306">
        <v>1100</v>
      </c>
      <c r="I43" s="307">
        <v>44</v>
      </c>
      <c r="J43" s="308">
        <f t="shared" si="25"/>
        <v>48400</v>
      </c>
      <c r="K43" s="308"/>
      <c r="L43" s="308">
        <f t="shared" si="27"/>
        <v>0</v>
      </c>
      <c r="M43" s="308"/>
      <c r="N43" s="309">
        <f t="shared" si="28"/>
        <v>0</v>
      </c>
      <c r="O43" s="310"/>
      <c r="P43" s="311">
        <f t="shared" si="29"/>
        <v>0</v>
      </c>
      <c r="Q43" s="310">
        <v>725</v>
      </c>
      <c r="R43" s="311">
        <f t="shared" si="3"/>
        <v>31900</v>
      </c>
      <c r="S43" s="310"/>
      <c r="T43" s="311">
        <f t="shared" si="4"/>
        <v>0</v>
      </c>
      <c r="U43" s="306">
        <v>3306</v>
      </c>
      <c r="V43" s="307">
        <v>17</v>
      </c>
      <c r="W43" s="308">
        <f t="shared" si="26"/>
        <v>56202</v>
      </c>
      <c r="X43" s="307"/>
      <c r="Y43" s="308">
        <f t="shared" si="30"/>
        <v>0</v>
      </c>
      <c r="Z43" s="307"/>
      <c r="AA43" s="308">
        <f t="shared" si="31"/>
        <v>0</v>
      </c>
      <c r="AB43" s="307"/>
      <c r="AC43" s="308">
        <f t="shared" si="32"/>
        <v>0</v>
      </c>
      <c r="AD43" s="313"/>
      <c r="AE43" s="311">
        <f t="shared" si="33"/>
        <v>0</v>
      </c>
      <c r="AF43" s="306">
        <v>934</v>
      </c>
      <c r="AG43" s="314">
        <v>44</v>
      </c>
      <c r="AH43" s="312">
        <f t="shared" si="9"/>
        <v>41096</v>
      </c>
      <c r="AI43" s="310"/>
      <c r="AJ43" s="311">
        <f t="shared" si="34"/>
        <v>0</v>
      </c>
      <c r="AK43" s="306"/>
      <c r="AL43" s="308">
        <f t="shared" si="35"/>
        <v>0</v>
      </c>
      <c r="AM43" s="307"/>
      <c r="AN43" s="308">
        <f t="shared" si="36"/>
        <v>0</v>
      </c>
      <c r="AO43" s="308"/>
      <c r="AP43" s="308">
        <f t="shared" si="37"/>
        <v>0</v>
      </c>
      <c r="AQ43" s="308"/>
      <c r="AR43" s="308">
        <f t="shared" si="38"/>
        <v>0</v>
      </c>
      <c r="AS43" s="310"/>
      <c r="AT43" s="311">
        <f t="shared" si="39"/>
        <v>0</v>
      </c>
      <c r="AU43" s="306"/>
      <c r="AV43" s="312">
        <f t="shared" si="40"/>
        <v>0</v>
      </c>
      <c r="AW43" s="310"/>
      <c r="AX43" s="310">
        <f t="shared" si="41"/>
        <v>0</v>
      </c>
      <c r="AY43" s="308"/>
      <c r="AZ43" s="309">
        <f t="shared" si="42"/>
        <v>0</v>
      </c>
      <c r="BA43" s="306"/>
      <c r="BB43" s="312">
        <f t="shared" si="43"/>
        <v>0</v>
      </c>
      <c r="BC43" s="308"/>
      <c r="BD43" s="308">
        <f t="shared" si="44"/>
        <v>0</v>
      </c>
      <c r="BE43" s="310"/>
      <c r="BF43" s="311">
        <f t="shared" si="45"/>
        <v>0</v>
      </c>
      <c r="BG43" s="306"/>
      <c r="BH43" s="312">
        <f t="shared" si="46"/>
        <v>0</v>
      </c>
      <c r="BI43" s="308"/>
      <c r="BJ43" s="308">
        <f t="shared" si="47"/>
        <v>0</v>
      </c>
      <c r="BK43" s="310"/>
      <c r="BL43" s="311">
        <f t="shared" si="48"/>
        <v>0</v>
      </c>
    </row>
    <row r="44" spans="2:64" s="188" customFormat="1" ht="37" customHeight="1" x14ac:dyDescent="0.35">
      <c r="B44" s="300" t="str">
        <f>IF(ISBLANK($E44)," ",IF(AND(COUNTA(E$35:$E44)+64&gt;72,COUNTA(E$35:$E44)+64&lt;78),CHAR(COUNTA(E$35:$E44)+65),IF(COUNTA(E$35:$E44)+64&gt;77,CHAR(COUNTA(E$35:$E44)+66),CHAR(COUNTA(E$35:$E44)+64))))</f>
        <v>K</v>
      </c>
      <c r="C44" s="315" t="s">
        <v>130</v>
      </c>
      <c r="D44" s="302" t="s">
        <v>124</v>
      </c>
      <c r="E44" s="342">
        <v>23</v>
      </c>
      <c r="F44" s="304">
        <v>952.2</v>
      </c>
      <c r="G44" s="305">
        <v>21900.600000000002</v>
      </c>
      <c r="H44" s="306">
        <v>2164</v>
      </c>
      <c r="I44" s="327">
        <v>44</v>
      </c>
      <c r="J44" s="308">
        <f t="shared" si="25"/>
        <v>95216</v>
      </c>
      <c r="K44" s="308"/>
      <c r="L44" s="308">
        <f t="shared" si="27"/>
        <v>0</v>
      </c>
      <c r="M44" s="308"/>
      <c r="N44" s="309">
        <f t="shared" si="28"/>
        <v>0</v>
      </c>
      <c r="O44" s="310"/>
      <c r="P44" s="311">
        <f t="shared" si="29"/>
        <v>0</v>
      </c>
      <c r="Q44" s="310">
        <v>2950</v>
      </c>
      <c r="R44" s="311">
        <f t="shared" si="3"/>
        <v>67850</v>
      </c>
      <c r="S44" s="310"/>
      <c r="T44" s="311">
        <f t="shared" si="4"/>
        <v>0</v>
      </c>
      <c r="U44" s="317"/>
      <c r="V44" s="318">
        <v>23</v>
      </c>
      <c r="W44" s="319">
        <f t="shared" si="26"/>
        <v>0</v>
      </c>
      <c r="X44" s="307"/>
      <c r="Y44" s="308">
        <f t="shared" si="30"/>
        <v>0</v>
      </c>
      <c r="Z44" s="307"/>
      <c r="AA44" s="308">
        <f t="shared" si="31"/>
        <v>0</v>
      </c>
      <c r="AB44" s="307"/>
      <c r="AC44" s="308">
        <f t="shared" si="32"/>
        <v>0</v>
      </c>
      <c r="AD44" s="313"/>
      <c r="AE44" s="311">
        <f t="shared" si="33"/>
        <v>0</v>
      </c>
      <c r="AF44" s="306">
        <v>1187</v>
      </c>
      <c r="AG44" s="314">
        <v>23</v>
      </c>
      <c r="AH44" s="312">
        <f t="shared" si="9"/>
        <v>27301</v>
      </c>
      <c r="AI44" s="310"/>
      <c r="AJ44" s="311">
        <f t="shared" si="34"/>
        <v>0</v>
      </c>
      <c r="AK44" s="306"/>
      <c r="AL44" s="308">
        <f t="shared" si="35"/>
        <v>0</v>
      </c>
      <c r="AM44" s="307"/>
      <c r="AN44" s="308">
        <f t="shared" si="36"/>
        <v>0</v>
      </c>
      <c r="AO44" s="308"/>
      <c r="AP44" s="308">
        <f t="shared" si="37"/>
        <v>0</v>
      </c>
      <c r="AQ44" s="308"/>
      <c r="AR44" s="308">
        <f t="shared" si="38"/>
        <v>0</v>
      </c>
      <c r="AS44" s="310"/>
      <c r="AT44" s="311">
        <f t="shared" si="39"/>
        <v>0</v>
      </c>
      <c r="AU44" s="306"/>
      <c r="AV44" s="312">
        <f t="shared" si="40"/>
        <v>0</v>
      </c>
      <c r="AW44" s="310"/>
      <c r="AX44" s="310">
        <f t="shared" si="41"/>
        <v>0</v>
      </c>
      <c r="AY44" s="308"/>
      <c r="AZ44" s="309">
        <f t="shared" si="42"/>
        <v>0</v>
      </c>
      <c r="BA44" s="306"/>
      <c r="BB44" s="312">
        <f t="shared" si="43"/>
        <v>0</v>
      </c>
      <c r="BC44" s="308"/>
      <c r="BD44" s="308">
        <f t="shared" si="44"/>
        <v>0</v>
      </c>
      <c r="BE44" s="310"/>
      <c r="BF44" s="311">
        <f t="shared" si="45"/>
        <v>0</v>
      </c>
      <c r="BG44" s="306"/>
      <c r="BH44" s="312">
        <f t="shared" si="46"/>
        <v>0</v>
      </c>
      <c r="BI44" s="308"/>
      <c r="BJ44" s="308">
        <f t="shared" si="47"/>
        <v>0</v>
      </c>
      <c r="BK44" s="310"/>
      <c r="BL44" s="311">
        <f t="shared" si="48"/>
        <v>0</v>
      </c>
    </row>
    <row r="45" spans="2:64" s="188" customFormat="1" ht="37" customHeight="1" x14ac:dyDescent="0.35">
      <c r="B45" s="300" t="str">
        <f>IF(ISBLANK($E45)," ",IF(AND(COUNTA(E$35:$E45)+64&gt;72,COUNTA(E$35:$E45)+64&lt;78),CHAR(COUNTA(E$35:$E45)+65),IF(COUNTA(E$35:$E45)+64&gt;77,CHAR(COUNTA(E$35:$E45)+66),CHAR(COUNTA(E$35:$E45)+64))))</f>
        <v>L</v>
      </c>
      <c r="C45" s="315" t="s">
        <v>131</v>
      </c>
      <c r="D45" s="302" t="s">
        <v>103</v>
      </c>
      <c r="E45" s="303">
        <v>4</v>
      </c>
      <c r="F45" s="304">
        <v>952.2</v>
      </c>
      <c r="G45" s="305">
        <v>3808.8</v>
      </c>
      <c r="H45" s="306">
        <v>5021</v>
      </c>
      <c r="I45" s="307">
        <v>4</v>
      </c>
      <c r="J45" s="308">
        <f t="shared" si="25"/>
        <v>20084</v>
      </c>
      <c r="K45" s="308"/>
      <c r="L45" s="308">
        <f t="shared" si="27"/>
        <v>0</v>
      </c>
      <c r="M45" s="308"/>
      <c r="N45" s="309">
        <f t="shared" si="28"/>
        <v>0</v>
      </c>
      <c r="O45" s="310"/>
      <c r="P45" s="311">
        <f t="shared" si="29"/>
        <v>0</v>
      </c>
      <c r="Q45" s="310">
        <v>3750</v>
      </c>
      <c r="R45" s="311">
        <f t="shared" si="3"/>
        <v>15000</v>
      </c>
      <c r="S45" s="310"/>
      <c r="T45" s="311">
        <f t="shared" si="4"/>
        <v>0</v>
      </c>
      <c r="U45" s="317"/>
      <c r="V45" s="318">
        <v>4</v>
      </c>
      <c r="W45" s="319">
        <f t="shared" si="26"/>
        <v>0</v>
      </c>
      <c r="X45" s="307"/>
      <c r="Y45" s="308">
        <f t="shared" si="30"/>
        <v>0</v>
      </c>
      <c r="Z45" s="307"/>
      <c r="AA45" s="308">
        <f t="shared" si="31"/>
        <v>0</v>
      </c>
      <c r="AB45" s="307"/>
      <c r="AC45" s="308">
        <f t="shared" si="32"/>
        <v>0</v>
      </c>
      <c r="AD45" s="313"/>
      <c r="AE45" s="311">
        <f t="shared" si="33"/>
        <v>0</v>
      </c>
      <c r="AF45" s="306">
        <v>3254</v>
      </c>
      <c r="AG45" s="314">
        <v>4</v>
      </c>
      <c r="AH45" s="312">
        <f t="shared" si="9"/>
        <v>13016</v>
      </c>
      <c r="AI45" s="310"/>
      <c r="AJ45" s="311">
        <f t="shared" si="34"/>
        <v>0</v>
      </c>
      <c r="AK45" s="306"/>
      <c r="AL45" s="308">
        <f t="shared" si="35"/>
        <v>0</v>
      </c>
      <c r="AM45" s="307"/>
      <c r="AN45" s="308">
        <f t="shared" si="36"/>
        <v>0</v>
      </c>
      <c r="AO45" s="308"/>
      <c r="AP45" s="308">
        <f t="shared" si="37"/>
        <v>0</v>
      </c>
      <c r="AQ45" s="308"/>
      <c r="AR45" s="308">
        <f t="shared" si="38"/>
        <v>0</v>
      </c>
      <c r="AS45" s="310"/>
      <c r="AT45" s="311">
        <f t="shared" si="39"/>
        <v>0</v>
      </c>
      <c r="AU45" s="306"/>
      <c r="AV45" s="312">
        <f t="shared" si="40"/>
        <v>0</v>
      </c>
      <c r="AW45" s="310"/>
      <c r="AX45" s="310">
        <f t="shared" si="41"/>
        <v>0</v>
      </c>
      <c r="AY45" s="308"/>
      <c r="AZ45" s="309">
        <f t="shared" si="42"/>
        <v>0</v>
      </c>
      <c r="BA45" s="306"/>
      <c r="BB45" s="312">
        <f t="shared" si="43"/>
        <v>0</v>
      </c>
      <c r="BC45" s="308"/>
      <c r="BD45" s="308">
        <f t="shared" si="44"/>
        <v>0</v>
      </c>
      <c r="BE45" s="310"/>
      <c r="BF45" s="311">
        <f t="shared" si="45"/>
        <v>0</v>
      </c>
      <c r="BG45" s="306"/>
      <c r="BH45" s="312">
        <f t="shared" si="46"/>
        <v>0</v>
      </c>
      <c r="BI45" s="308"/>
      <c r="BJ45" s="308">
        <f t="shared" si="47"/>
        <v>0</v>
      </c>
      <c r="BK45" s="310"/>
      <c r="BL45" s="311">
        <f t="shared" si="48"/>
        <v>0</v>
      </c>
    </row>
    <row r="46" spans="2:64" s="188" customFormat="1" ht="37" customHeight="1" x14ac:dyDescent="0.35">
      <c r="B46" s="300" t="str">
        <f>IF(ISBLANK($E46)," ",IF(AND(COUNTA(E$35:$E46)+64&gt;72,COUNTA(E$35:$E46)+64&lt;78),CHAR(COUNTA(E$35:$E46)+65),IF(COUNTA(E$35:$E46)+64&gt;77,CHAR(COUNTA(E$35:$E46)+66),CHAR(COUNTA(E$35:$E46)+64))))</f>
        <v>M</v>
      </c>
      <c r="C46" s="315" t="s">
        <v>132</v>
      </c>
      <c r="D46" s="302" t="s">
        <v>103</v>
      </c>
      <c r="E46" s="303">
        <v>40</v>
      </c>
      <c r="F46" s="304">
        <v>47.7</v>
      </c>
      <c r="G46" s="305">
        <v>1908</v>
      </c>
      <c r="H46" s="306">
        <v>107</v>
      </c>
      <c r="I46" s="307">
        <v>40</v>
      </c>
      <c r="J46" s="308">
        <f t="shared" si="25"/>
        <v>4280</v>
      </c>
      <c r="K46" s="308"/>
      <c r="L46" s="308">
        <f t="shared" si="27"/>
        <v>0</v>
      </c>
      <c r="M46" s="308"/>
      <c r="N46" s="309">
        <f t="shared" si="28"/>
        <v>0</v>
      </c>
      <c r="O46" s="310"/>
      <c r="P46" s="311">
        <f t="shared" si="29"/>
        <v>0</v>
      </c>
      <c r="Q46" s="310">
        <v>320</v>
      </c>
      <c r="R46" s="311">
        <f t="shared" si="3"/>
        <v>12800</v>
      </c>
      <c r="S46" s="310"/>
      <c r="T46" s="311">
        <f t="shared" si="4"/>
        <v>0</v>
      </c>
      <c r="U46" s="317"/>
      <c r="V46" s="318">
        <v>41</v>
      </c>
      <c r="W46" s="319">
        <f t="shared" si="26"/>
        <v>0</v>
      </c>
      <c r="X46" s="307"/>
      <c r="Y46" s="308">
        <f t="shared" si="30"/>
        <v>0</v>
      </c>
      <c r="Z46" s="307"/>
      <c r="AA46" s="308">
        <f t="shared" si="31"/>
        <v>0</v>
      </c>
      <c r="AB46" s="307"/>
      <c r="AC46" s="308">
        <f t="shared" si="32"/>
        <v>0</v>
      </c>
      <c r="AD46" s="313"/>
      <c r="AE46" s="311">
        <f t="shared" si="33"/>
        <v>0</v>
      </c>
      <c r="AF46" s="322"/>
      <c r="AG46" s="323">
        <v>40</v>
      </c>
      <c r="AH46" s="324">
        <f t="shared" si="9"/>
        <v>0</v>
      </c>
      <c r="AI46" s="310"/>
      <c r="AJ46" s="311">
        <f t="shared" si="34"/>
        <v>0</v>
      </c>
      <c r="AK46" s="306"/>
      <c r="AL46" s="308">
        <f t="shared" si="35"/>
        <v>0</v>
      </c>
      <c r="AM46" s="307"/>
      <c r="AN46" s="308">
        <f t="shared" si="36"/>
        <v>0</v>
      </c>
      <c r="AO46" s="308"/>
      <c r="AP46" s="308">
        <f t="shared" si="37"/>
        <v>0</v>
      </c>
      <c r="AQ46" s="308"/>
      <c r="AR46" s="308">
        <f t="shared" si="38"/>
        <v>0</v>
      </c>
      <c r="AS46" s="310"/>
      <c r="AT46" s="311">
        <f t="shared" si="39"/>
        <v>0</v>
      </c>
      <c r="AU46" s="306"/>
      <c r="AV46" s="312">
        <f t="shared" si="40"/>
        <v>0</v>
      </c>
      <c r="AW46" s="310"/>
      <c r="AX46" s="310">
        <f t="shared" si="41"/>
        <v>0</v>
      </c>
      <c r="AY46" s="308"/>
      <c r="AZ46" s="309">
        <f t="shared" si="42"/>
        <v>0</v>
      </c>
      <c r="BA46" s="306"/>
      <c r="BB46" s="312">
        <f t="shared" si="43"/>
        <v>0</v>
      </c>
      <c r="BC46" s="308"/>
      <c r="BD46" s="308">
        <f t="shared" si="44"/>
        <v>0</v>
      </c>
      <c r="BE46" s="310"/>
      <c r="BF46" s="311">
        <f t="shared" si="45"/>
        <v>0</v>
      </c>
      <c r="BG46" s="306"/>
      <c r="BH46" s="312">
        <f t="shared" si="46"/>
        <v>0</v>
      </c>
      <c r="BI46" s="308"/>
      <c r="BJ46" s="308">
        <f t="shared" si="47"/>
        <v>0</v>
      </c>
      <c r="BK46" s="310"/>
      <c r="BL46" s="311">
        <f t="shared" si="48"/>
        <v>0</v>
      </c>
    </row>
    <row r="47" spans="2:64" s="188" customFormat="1" ht="37" customHeight="1" x14ac:dyDescent="0.35">
      <c r="B47" s="300" t="str">
        <f>IF(ISBLANK($E47)," ",IF(AND(COUNTA(E$35:$E47)+64&gt;72,COUNTA(E$35:$E47)+64&lt;78),CHAR(COUNTA(E$35:$E47)+65),IF(COUNTA(E$35:$E47)+64&gt;77,CHAR(COUNTA(E$35:$E47)+66),CHAR(COUNTA(E$35:$E47)+64))))</f>
        <v>N</v>
      </c>
      <c r="C47" s="315" t="s">
        <v>133</v>
      </c>
      <c r="D47" s="302" t="s">
        <v>103</v>
      </c>
      <c r="E47" s="303">
        <v>31</v>
      </c>
      <c r="F47" s="304">
        <v>3965.4</v>
      </c>
      <c r="G47" s="305">
        <v>162581.4</v>
      </c>
      <c r="H47" s="306">
        <v>2964</v>
      </c>
      <c r="I47" s="307">
        <v>31</v>
      </c>
      <c r="J47" s="308">
        <f t="shared" si="25"/>
        <v>91884</v>
      </c>
      <c r="K47" s="308"/>
      <c r="L47" s="308">
        <f t="shared" si="27"/>
        <v>0</v>
      </c>
      <c r="M47" s="308"/>
      <c r="N47" s="309">
        <f t="shared" si="28"/>
        <v>0</v>
      </c>
      <c r="O47" s="310"/>
      <c r="P47" s="311">
        <f t="shared" si="29"/>
        <v>0</v>
      </c>
      <c r="Q47" s="310">
        <v>3100</v>
      </c>
      <c r="R47" s="311">
        <f t="shared" si="3"/>
        <v>96100</v>
      </c>
      <c r="S47" s="310"/>
      <c r="T47" s="311">
        <f t="shared" si="4"/>
        <v>0</v>
      </c>
      <c r="U47" s="306">
        <v>5751</v>
      </c>
      <c r="V47" s="307">
        <v>42</v>
      </c>
      <c r="W47" s="308">
        <f t="shared" si="26"/>
        <v>241542</v>
      </c>
      <c r="X47" s="307"/>
      <c r="Y47" s="308">
        <f t="shared" si="30"/>
        <v>0</v>
      </c>
      <c r="Z47" s="307"/>
      <c r="AA47" s="308">
        <f t="shared" si="31"/>
        <v>0</v>
      </c>
      <c r="AB47" s="307"/>
      <c r="AC47" s="308">
        <f t="shared" si="32"/>
        <v>0</v>
      </c>
      <c r="AD47" s="313"/>
      <c r="AE47" s="311">
        <f t="shared" si="33"/>
        <v>0</v>
      </c>
      <c r="AF47" s="306">
        <v>3334</v>
      </c>
      <c r="AG47" s="314">
        <v>31</v>
      </c>
      <c r="AH47" s="312">
        <f t="shared" si="9"/>
        <v>103354</v>
      </c>
      <c r="AI47" s="310"/>
      <c r="AJ47" s="311">
        <f t="shared" si="34"/>
        <v>0</v>
      </c>
      <c r="AK47" s="306"/>
      <c r="AL47" s="308">
        <f t="shared" si="35"/>
        <v>0</v>
      </c>
      <c r="AM47" s="307"/>
      <c r="AN47" s="308">
        <f t="shared" si="36"/>
        <v>0</v>
      </c>
      <c r="AO47" s="308"/>
      <c r="AP47" s="308">
        <f t="shared" si="37"/>
        <v>0</v>
      </c>
      <c r="AQ47" s="308"/>
      <c r="AR47" s="308">
        <f t="shared" si="38"/>
        <v>0</v>
      </c>
      <c r="AS47" s="310"/>
      <c r="AT47" s="311">
        <f t="shared" si="39"/>
        <v>0</v>
      </c>
      <c r="AU47" s="306"/>
      <c r="AV47" s="312">
        <f t="shared" si="40"/>
        <v>0</v>
      </c>
      <c r="AW47" s="310"/>
      <c r="AX47" s="310">
        <f t="shared" si="41"/>
        <v>0</v>
      </c>
      <c r="AY47" s="308"/>
      <c r="AZ47" s="309">
        <f t="shared" si="42"/>
        <v>0</v>
      </c>
      <c r="BA47" s="306"/>
      <c r="BB47" s="312">
        <f t="shared" si="43"/>
        <v>0</v>
      </c>
      <c r="BC47" s="308"/>
      <c r="BD47" s="308">
        <f t="shared" si="44"/>
        <v>0</v>
      </c>
      <c r="BE47" s="310"/>
      <c r="BF47" s="311">
        <f t="shared" si="45"/>
        <v>0</v>
      </c>
      <c r="BG47" s="306"/>
      <c r="BH47" s="312">
        <f t="shared" si="46"/>
        <v>0</v>
      </c>
      <c r="BI47" s="308"/>
      <c r="BJ47" s="308">
        <f t="shared" si="47"/>
        <v>0</v>
      </c>
      <c r="BK47" s="310"/>
      <c r="BL47" s="311">
        <f t="shared" si="48"/>
        <v>0</v>
      </c>
    </row>
    <row r="48" spans="2:64" s="188" customFormat="1" ht="37" customHeight="1" x14ac:dyDescent="0.35">
      <c r="B48" s="300" t="str">
        <f>IF(ISBLANK($E48)," ",IF(AND(COUNTA(E$35:$E48)+64&gt;72,COUNTA(E$35:$E48)+64&lt;78),CHAR(COUNTA(E$35:$E48)+65),IF(COUNTA(E$35:$E48)+64&gt;77,CHAR(COUNTA(E$35:$E48)+66),CHAR(COUNTA(E$35:$E48)+64))))</f>
        <v>P</v>
      </c>
      <c r="C48" s="315" t="s">
        <v>134</v>
      </c>
      <c r="D48" s="302" t="s">
        <v>135</v>
      </c>
      <c r="E48" s="303">
        <v>1</v>
      </c>
      <c r="F48" s="304">
        <v>4094.1</v>
      </c>
      <c r="G48" s="305">
        <v>32752.799999999999</v>
      </c>
      <c r="H48" s="306">
        <v>4371</v>
      </c>
      <c r="I48" s="307">
        <v>1</v>
      </c>
      <c r="J48" s="308">
        <f t="shared" si="25"/>
        <v>4371</v>
      </c>
      <c r="K48" s="308"/>
      <c r="L48" s="308">
        <f t="shared" si="27"/>
        <v>0</v>
      </c>
      <c r="M48" s="308"/>
      <c r="N48" s="309">
        <f t="shared" si="28"/>
        <v>0</v>
      </c>
      <c r="O48" s="310"/>
      <c r="P48" s="311">
        <f t="shared" si="29"/>
        <v>0</v>
      </c>
      <c r="Q48" s="310">
        <v>7500</v>
      </c>
      <c r="R48" s="311">
        <f t="shared" si="3"/>
        <v>7500</v>
      </c>
      <c r="S48" s="310"/>
      <c r="T48" s="311">
        <f t="shared" si="4"/>
        <v>0</v>
      </c>
      <c r="U48" s="306">
        <v>5913</v>
      </c>
      <c r="V48" s="307">
        <v>8</v>
      </c>
      <c r="W48" s="308">
        <f t="shared" si="26"/>
        <v>47304</v>
      </c>
      <c r="X48" s="307"/>
      <c r="Y48" s="308">
        <f t="shared" si="30"/>
        <v>0</v>
      </c>
      <c r="Z48" s="307"/>
      <c r="AA48" s="308">
        <f t="shared" si="31"/>
        <v>0</v>
      </c>
      <c r="AB48" s="307"/>
      <c r="AC48" s="308">
        <f t="shared" si="32"/>
        <v>0</v>
      </c>
      <c r="AD48" s="313"/>
      <c r="AE48" s="311">
        <f t="shared" si="33"/>
        <v>0</v>
      </c>
      <c r="AF48" s="306">
        <v>4934</v>
      </c>
      <c r="AG48" s="314">
        <v>1</v>
      </c>
      <c r="AH48" s="312">
        <f t="shared" si="9"/>
        <v>4934</v>
      </c>
      <c r="AI48" s="310"/>
      <c r="AJ48" s="311">
        <f t="shared" si="34"/>
        <v>0</v>
      </c>
      <c r="AK48" s="306"/>
      <c r="AL48" s="308">
        <f t="shared" si="35"/>
        <v>0</v>
      </c>
      <c r="AM48" s="307"/>
      <c r="AN48" s="308">
        <f t="shared" si="36"/>
        <v>0</v>
      </c>
      <c r="AO48" s="308"/>
      <c r="AP48" s="308">
        <f t="shared" si="37"/>
        <v>0</v>
      </c>
      <c r="AQ48" s="308"/>
      <c r="AR48" s="308">
        <f t="shared" si="38"/>
        <v>0</v>
      </c>
      <c r="AS48" s="310"/>
      <c r="AT48" s="311">
        <f t="shared" si="39"/>
        <v>0</v>
      </c>
      <c r="AU48" s="306"/>
      <c r="AV48" s="312">
        <f t="shared" si="40"/>
        <v>0</v>
      </c>
      <c r="AW48" s="310"/>
      <c r="AX48" s="310">
        <f t="shared" si="41"/>
        <v>0</v>
      </c>
      <c r="AY48" s="308"/>
      <c r="AZ48" s="309">
        <f t="shared" si="42"/>
        <v>0</v>
      </c>
      <c r="BA48" s="306"/>
      <c r="BB48" s="312">
        <f t="shared" si="43"/>
        <v>0</v>
      </c>
      <c r="BC48" s="308"/>
      <c r="BD48" s="308">
        <f t="shared" si="44"/>
        <v>0</v>
      </c>
      <c r="BE48" s="310"/>
      <c r="BF48" s="311">
        <f t="shared" si="45"/>
        <v>0</v>
      </c>
      <c r="BG48" s="306"/>
      <c r="BH48" s="312">
        <f t="shared" si="46"/>
        <v>0</v>
      </c>
      <c r="BI48" s="308"/>
      <c r="BJ48" s="308">
        <f t="shared" si="47"/>
        <v>0</v>
      </c>
      <c r="BK48" s="310"/>
      <c r="BL48" s="311">
        <f t="shared" si="48"/>
        <v>0</v>
      </c>
    </row>
    <row r="49" spans="2:64" s="188" customFormat="1" ht="37" customHeight="1" x14ac:dyDescent="0.35">
      <c r="B49" s="300" t="str">
        <f>IF(ISBLANK($E49)," ",IF(AND(COUNTA(E$35:$E49)+64&gt;72,COUNTA(E$35:$E49)+64&lt;78),CHAR(COUNTA(E$35:$E49)+65),IF(COUNTA(E$35:$E49)+64&gt;77,CHAR(COUNTA(E$35:$E49)+66),CHAR(COUNTA(E$35:$E49)+64))))</f>
        <v>Q</v>
      </c>
      <c r="C49" s="315" t="s">
        <v>136</v>
      </c>
      <c r="D49" s="302" t="s">
        <v>135</v>
      </c>
      <c r="E49" s="303">
        <v>1</v>
      </c>
      <c r="F49" s="304">
        <v>23785.200000000001</v>
      </c>
      <c r="G49" s="305">
        <v>47570.400000000001</v>
      </c>
      <c r="H49" s="306">
        <v>1933</v>
      </c>
      <c r="I49" s="307">
        <v>1</v>
      </c>
      <c r="J49" s="308">
        <f t="shared" si="25"/>
        <v>1933</v>
      </c>
      <c r="K49" s="308"/>
      <c r="L49" s="308">
        <f t="shared" si="27"/>
        <v>0</v>
      </c>
      <c r="M49" s="308"/>
      <c r="N49" s="309">
        <f t="shared" si="28"/>
        <v>0</v>
      </c>
      <c r="O49" s="310"/>
      <c r="P49" s="311">
        <f t="shared" si="29"/>
        <v>0</v>
      </c>
      <c r="Q49" s="319"/>
      <c r="R49" s="343">
        <f t="shared" si="3"/>
        <v>0</v>
      </c>
      <c r="S49" s="319"/>
      <c r="T49" s="343">
        <f t="shared" si="4"/>
        <v>0</v>
      </c>
      <c r="U49" s="317"/>
      <c r="V49" s="318">
        <v>1</v>
      </c>
      <c r="W49" s="319">
        <f t="shared" si="26"/>
        <v>0</v>
      </c>
      <c r="X49" s="307"/>
      <c r="Y49" s="308">
        <f t="shared" si="30"/>
        <v>0</v>
      </c>
      <c r="Z49" s="307"/>
      <c r="AA49" s="308">
        <f t="shared" si="31"/>
        <v>0</v>
      </c>
      <c r="AB49" s="307"/>
      <c r="AC49" s="308">
        <f t="shared" si="32"/>
        <v>0</v>
      </c>
      <c r="AD49" s="313"/>
      <c r="AE49" s="311">
        <f t="shared" si="33"/>
        <v>0</v>
      </c>
      <c r="AF49" s="306">
        <v>2460</v>
      </c>
      <c r="AG49" s="314">
        <v>1</v>
      </c>
      <c r="AH49" s="312">
        <f t="shared" si="9"/>
        <v>2460</v>
      </c>
      <c r="AI49" s="310"/>
      <c r="AJ49" s="311">
        <f t="shared" si="34"/>
        <v>0</v>
      </c>
      <c r="AK49" s="306"/>
      <c r="AL49" s="308">
        <f t="shared" si="35"/>
        <v>0</v>
      </c>
      <c r="AM49" s="307"/>
      <c r="AN49" s="308">
        <f t="shared" si="36"/>
        <v>0</v>
      </c>
      <c r="AO49" s="308"/>
      <c r="AP49" s="308">
        <f t="shared" si="37"/>
        <v>0</v>
      </c>
      <c r="AQ49" s="308"/>
      <c r="AR49" s="308">
        <f t="shared" si="38"/>
        <v>0</v>
      </c>
      <c r="AS49" s="310"/>
      <c r="AT49" s="311">
        <f t="shared" si="39"/>
        <v>0</v>
      </c>
      <c r="AU49" s="306"/>
      <c r="AV49" s="312">
        <f t="shared" si="40"/>
        <v>0</v>
      </c>
      <c r="AW49" s="310"/>
      <c r="AX49" s="310">
        <f t="shared" si="41"/>
        <v>0</v>
      </c>
      <c r="AY49" s="308"/>
      <c r="AZ49" s="309">
        <f t="shared" si="42"/>
        <v>0</v>
      </c>
      <c r="BA49" s="306"/>
      <c r="BB49" s="312">
        <f t="shared" si="43"/>
        <v>0</v>
      </c>
      <c r="BC49" s="308"/>
      <c r="BD49" s="308">
        <f t="shared" si="44"/>
        <v>0</v>
      </c>
      <c r="BE49" s="310"/>
      <c r="BF49" s="311">
        <f t="shared" si="45"/>
        <v>0</v>
      </c>
      <c r="BG49" s="306"/>
      <c r="BH49" s="312">
        <f t="shared" si="46"/>
        <v>0</v>
      </c>
      <c r="BI49" s="308"/>
      <c r="BJ49" s="308">
        <f t="shared" si="47"/>
        <v>0</v>
      </c>
      <c r="BK49" s="310"/>
      <c r="BL49" s="311">
        <f t="shared" si="48"/>
        <v>0</v>
      </c>
    </row>
    <row r="50" spans="2:64" s="188" customFormat="1" ht="40" customHeight="1" x14ac:dyDescent="0.35">
      <c r="B50" s="328" t="s">
        <v>126</v>
      </c>
      <c r="C50" s="315" t="s">
        <v>137</v>
      </c>
      <c r="D50" s="329" t="s">
        <v>135</v>
      </c>
      <c r="E50" s="330">
        <v>1</v>
      </c>
      <c r="F50" s="331"/>
      <c r="G50" s="305"/>
      <c r="H50" s="332"/>
      <c r="I50" s="333"/>
      <c r="J50" s="334"/>
      <c r="K50" s="334"/>
      <c r="L50" s="334"/>
      <c r="M50" s="334"/>
      <c r="N50" s="335"/>
      <c r="O50" s="336"/>
      <c r="P50" s="337"/>
      <c r="Q50" s="336"/>
      <c r="R50" s="337">
        <f t="shared" si="3"/>
        <v>0</v>
      </c>
      <c r="S50" s="336"/>
      <c r="T50" s="337">
        <f t="shared" si="4"/>
        <v>0</v>
      </c>
      <c r="U50" s="332">
        <v>44850</v>
      </c>
      <c r="V50" s="338">
        <v>1</v>
      </c>
      <c r="W50" s="339">
        <f t="shared" si="26"/>
        <v>44850</v>
      </c>
      <c r="X50" s="334"/>
      <c r="Y50" s="339"/>
      <c r="Z50" s="334"/>
      <c r="AA50" s="339"/>
      <c r="AB50" s="308"/>
      <c r="AC50" s="334"/>
      <c r="AD50" s="310"/>
      <c r="AE50" s="337"/>
      <c r="AF50" s="344"/>
      <c r="AG50" s="345">
        <v>1</v>
      </c>
      <c r="AH50" s="346"/>
      <c r="AI50" s="336"/>
      <c r="AJ50" s="337"/>
      <c r="AK50" s="332"/>
      <c r="AL50" s="334"/>
      <c r="AM50" s="333"/>
      <c r="AN50" s="334"/>
      <c r="AO50" s="334"/>
      <c r="AP50" s="334"/>
      <c r="AQ50" s="340"/>
      <c r="AR50" s="334"/>
      <c r="AS50" s="336"/>
      <c r="AT50" s="337"/>
      <c r="AU50" s="332"/>
      <c r="AV50" s="339"/>
      <c r="AW50" s="336"/>
      <c r="AX50" s="336"/>
      <c r="AY50" s="334"/>
      <c r="AZ50" s="335"/>
      <c r="BA50" s="332"/>
      <c r="BB50" s="339"/>
      <c r="BC50" s="334"/>
      <c r="BD50" s="339"/>
      <c r="BE50" s="336"/>
      <c r="BF50" s="337"/>
      <c r="BG50" s="332"/>
      <c r="BH50" s="341"/>
      <c r="BI50" s="334"/>
      <c r="BJ50" s="340"/>
      <c r="BK50" s="336"/>
      <c r="BL50" s="337"/>
    </row>
    <row r="51" spans="2:64" s="188" customFormat="1" ht="40" customHeight="1" x14ac:dyDescent="0.35">
      <c r="B51" s="328" t="s">
        <v>126</v>
      </c>
      <c r="C51" s="315" t="s">
        <v>138</v>
      </c>
      <c r="D51" s="329" t="s">
        <v>135</v>
      </c>
      <c r="E51" s="330">
        <v>1</v>
      </c>
      <c r="F51" s="331"/>
      <c r="G51" s="305"/>
      <c r="H51" s="332"/>
      <c r="I51" s="333"/>
      <c r="J51" s="334"/>
      <c r="K51" s="334"/>
      <c r="L51" s="334"/>
      <c r="M51" s="334"/>
      <c r="N51" s="335"/>
      <c r="O51" s="336"/>
      <c r="P51" s="337"/>
      <c r="Q51" s="336"/>
      <c r="R51" s="337">
        <f t="shared" si="3"/>
        <v>0</v>
      </c>
      <c r="S51" s="336"/>
      <c r="T51" s="337">
        <f t="shared" si="4"/>
        <v>0</v>
      </c>
      <c r="U51" s="317"/>
      <c r="V51" s="320">
        <v>1</v>
      </c>
      <c r="W51" s="321">
        <f t="shared" si="26"/>
        <v>0</v>
      </c>
      <c r="X51" s="334"/>
      <c r="Y51" s="339"/>
      <c r="Z51" s="334"/>
      <c r="AA51" s="339"/>
      <c r="AB51" s="308"/>
      <c r="AC51" s="334"/>
      <c r="AD51" s="310"/>
      <c r="AE51" s="337"/>
      <c r="AF51" s="344"/>
      <c r="AG51" s="345">
        <v>1</v>
      </c>
      <c r="AH51" s="346"/>
      <c r="AI51" s="336"/>
      <c r="AJ51" s="337"/>
      <c r="AK51" s="332"/>
      <c r="AL51" s="334"/>
      <c r="AM51" s="333"/>
      <c r="AN51" s="334"/>
      <c r="AO51" s="334"/>
      <c r="AP51" s="334"/>
      <c r="AQ51" s="340"/>
      <c r="AR51" s="334"/>
      <c r="AS51" s="336"/>
      <c r="AT51" s="337"/>
      <c r="AU51" s="332"/>
      <c r="AV51" s="339"/>
      <c r="AW51" s="336"/>
      <c r="AX51" s="336"/>
      <c r="AY51" s="334"/>
      <c r="AZ51" s="335"/>
      <c r="BA51" s="332"/>
      <c r="BB51" s="339"/>
      <c r="BC51" s="334"/>
      <c r="BD51" s="339"/>
      <c r="BE51" s="336"/>
      <c r="BF51" s="337"/>
      <c r="BG51" s="332"/>
      <c r="BH51" s="341"/>
      <c r="BI51" s="334"/>
      <c r="BJ51" s="340"/>
      <c r="BK51" s="336"/>
      <c r="BL51" s="337"/>
    </row>
    <row r="52" spans="2:64" s="188" customFormat="1" ht="37" customHeight="1" x14ac:dyDescent="0.35">
      <c r="B52" s="300" t="str">
        <f>IF(ISBLANK($E52)," ",IF(AND(COUNTA(E$35:$E52)+64&gt;72,COUNTA(E$35:$E52)+64&lt;78),CHAR(COUNTA(E$35:$E52)+65),IF(COUNTA(E$35:$E52)+64&gt;77,CHAR(COUNTA(E$35:$E52)+66),CHAR(COUNTA(E$35:$E52)+64))))</f>
        <v>T</v>
      </c>
      <c r="C52" s="315" t="s">
        <v>139</v>
      </c>
      <c r="D52" s="302" t="s">
        <v>103</v>
      </c>
      <c r="E52" s="303">
        <v>3</v>
      </c>
      <c r="F52" s="304">
        <v>1257.3</v>
      </c>
      <c r="G52" s="305">
        <v>15087.599999999999</v>
      </c>
      <c r="H52" s="306">
        <v>17893</v>
      </c>
      <c r="I52" s="307">
        <v>3</v>
      </c>
      <c r="J52" s="308">
        <f t="shared" si="25"/>
        <v>53679</v>
      </c>
      <c r="K52" s="308"/>
      <c r="L52" s="308">
        <f>K52*$E52</f>
        <v>0</v>
      </c>
      <c r="M52" s="308"/>
      <c r="N52" s="309">
        <f>M52*$E52</f>
        <v>0</v>
      </c>
      <c r="O52" s="310"/>
      <c r="P52" s="311">
        <f>O52*$E52</f>
        <v>0</v>
      </c>
      <c r="Q52" s="310">
        <v>1850</v>
      </c>
      <c r="R52" s="311">
        <f t="shared" si="3"/>
        <v>5550</v>
      </c>
      <c r="S52" s="310"/>
      <c r="T52" s="311">
        <f t="shared" si="4"/>
        <v>0</v>
      </c>
      <c r="U52" s="306">
        <v>1585</v>
      </c>
      <c r="V52" s="307">
        <v>12</v>
      </c>
      <c r="W52" s="308">
        <f t="shared" si="26"/>
        <v>19020</v>
      </c>
      <c r="X52" s="307"/>
      <c r="Y52" s="308">
        <f>X52*$E52</f>
        <v>0</v>
      </c>
      <c r="Z52" s="307"/>
      <c r="AA52" s="308">
        <f>Z52*$E52</f>
        <v>0</v>
      </c>
      <c r="AB52" s="307"/>
      <c r="AC52" s="308">
        <f>AB52*$E52</f>
        <v>0</v>
      </c>
      <c r="AD52" s="313"/>
      <c r="AE52" s="311">
        <f>AD52*$E52</f>
        <v>0</v>
      </c>
      <c r="AF52" s="322"/>
      <c r="AG52" s="323">
        <v>3</v>
      </c>
      <c r="AH52" s="324">
        <f>AF52*$AG52</f>
        <v>0</v>
      </c>
      <c r="AI52" s="310"/>
      <c r="AJ52" s="311">
        <f>AI52*$E52</f>
        <v>0</v>
      </c>
      <c r="AK52" s="306"/>
      <c r="AL52" s="308">
        <f>AK52*$E52</f>
        <v>0</v>
      </c>
      <c r="AM52" s="307"/>
      <c r="AN52" s="308">
        <f>AM52*$E52</f>
        <v>0</v>
      </c>
      <c r="AO52" s="308"/>
      <c r="AP52" s="308">
        <f>AO52*$E52</f>
        <v>0</v>
      </c>
      <c r="AQ52" s="308"/>
      <c r="AR52" s="308">
        <f>AQ52*$E52</f>
        <v>0</v>
      </c>
      <c r="AS52" s="310"/>
      <c r="AT52" s="311">
        <f>AS52*$E52</f>
        <v>0</v>
      </c>
      <c r="AU52" s="306"/>
      <c r="AV52" s="312">
        <f>AU52*$E52</f>
        <v>0</v>
      </c>
      <c r="AW52" s="310"/>
      <c r="AX52" s="310">
        <f>AW52*$E52</f>
        <v>0</v>
      </c>
      <c r="AY52" s="308"/>
      <c r="AZ52" s="309">
        <f>AY52*$E52</f>
        <v>0</v>
      </c>
      <c r="BA52" s="306"/>
      <c r="BB52" s="312">
        <f>BA52*$E52</f>
        <v>0</v>
      </c>
      <c r="BC52" s="308"/>
      <c r="BD52" s="308">
        <f>BC52*$E52</f>
        <v>0</v>
      </c>
      <c r="BE52" s="310"/>
      <c r="BF52" s="311">
        <f>BE52*$E52</f>
        <v>0</v>
      </c>
      <c r="BG52" s="306"/>
      <c r="BH52" s="312">
        <f>BG52*$E52</f>
        <v>0</v>
      </c>
      <c r="BI52" s="308"/>
      <c r="BJ52" s="308">
        <f>BI52*$E52</f>
        <v>0</v>
      </c>
      <c r="BK52" s="310"/>
      <c r="BL52" s="311">
        <f>BK52*$E52</f>
        <v>0</v>
      </c>
    </row>
    <row r="53" spans="2:64" s="188" customFormat="1" ht="37" customHeight="1" x14ac:dyDescent="0.35">
      <c r="B53" s="328" t="s">
        <v>126</v>
      </c>
      <c r="C53" s="347" t="s">
        <v>140</v>
      </c>
      <c r="D53" s="302" t="s">
        <v>135</v>
      </c>
      <c r="E53" s="303">
        <v>1</v>
      </c>
      <c r="F53" s="304"/>
      <c r="G53" s="305"/>
      <c r="H53" s="306"/>
      <c r="I53" s="307"/>
      <c r="J53" s="308"/>
      <c r="K53" s="308"/>
      <c r="L53" s="308"/>
      <c r="M53" s="308"/>
      <c r="N53" s="309"/>
      <c r="O53" s="310"/>
      <c r="P53" s="311"/>
      <c r="Q53" s="310"/>
      <c r="R53" s="311"/>
      <c r="S53" s="310"/>
      <c r="T53" s="311"/>
      <c r="U53" s="317"/>
      <c r="V53" s="318">
        <v>1</v>
      </c>
      <c r="W53" s="319">
        <f t="shared" si="26"/>
        <v>0</v>
      </c>
      <c r="X53" s="307"/>
      <c r="Y53" s="308"/>
      <c r="Z53" s="307"/>
      <c r="AA53" s="308"/>
      <c r="AB53" s="307"/>
      <c r="AC53" s="308"/>
      <c r="AD53" s="313"/>
      <c r="AE53" s="311"/>
      <c r="AF53" s="322"/>
      <c r="AG53" s="323">
        <v>1</v>
      </c>
      <c r="AH53" s="324"/>
      <c r="AI53" s="310"/>
      <c r="AJ53" s="311"/>
      <c r="AK53" s="306"/>
      <c r="AL53" s="308"/>
      <c r="AM53" s="307"/>
      <c r="AN53" s="308"/>
      <c r="AO53" s="308"/>
      <c r="AP53" s="308"/>
      <c r="AQ53" s="308"/>
      <c r="AR53" s="308"/>
      <c r="AS53" s="310"/>
      <c r="AT53" s="311"/>
      <c r="AU53" s="306"/>
      <c r="AV53" s="312"/>
      <c r="AW53" s="310"/>
      <c r="AX53" s="310"/>
      <c r="AY53" s="308"/>
      <c r="AZ53" s="309"/>
      <c r="BA53" s="306"/>
      <c r="BB53" s="312"/>
      <c r="BC53" s="308"/>
      <c r="BD53" s="308"/>
      <c r="BE53" s="310"/>
      <c r="BF53" s="311"/>
      <c r="BG53" s="306"/>
      <c r="BH53" s="312"/>
      <c r="BI53" s="308"/>
      <c r="BJ53" s="308"/>
      <c r="BK53" s="310"/>
      <c r="BL53" s="311"/>
    </row>
    <row r="54" spans="2:64" s="188" customFormat="1" ht="37" customHeight="1" x14ac:dyDescent="0.35">
      <c r="B54" s="300" t="str">
        <f>IF(ISBLANK($E54)," ",IF(AND(COUNTA(E$35:$E54)+64&gt;72,COUNTA(E$35:$E54)+64&lt;78),CHAR(COUNTA(E$35:$E54)+65),IF(COUNTA(E$35:$E54)+64&gt;77,CHAR(COUNTA(E$35:$E54)+66),CHAR(COUNTA(E$35:$E54)+64))))</f>
        <v>V</v>
      </c>
      <c r="C54" s="347" t="s">
        <v>141</v>
      </c>
      <c r="D54" s="302" t="s">
        <v>124</v>
      </c>
      <c r="E54" s="303">
        <v>16</v>
      </c>
      <c r="F54" s="348">
        <v>812</v>
      </c>
      <c r="G54" s="349">
        <v>12992</v>
      </c>
      <c r="H54" s="306">
        <v>3123</v>
      </c>
      <c r="I54" s="307">
        <v>16</v>
      </c>
      <c r="J54" s="308">
        <f t="shared" si="25"/>
        <v>49968</v>
      </c>
      <c r="K54" s="308"/>
      <c r="L54" s="308">
        <f t="shared" ref="L54:L59" si="49">K54*$E54</f>
        <v>0</v>
      </c>
      <c r="M54" s="308"/>
      <c r="N54" s="309">
        <f t="shared" ref="N54:N59" si="50">M54*$E54</f>
        <v>0</v>
      </c>
      <c r="O54" s="310"/>
      <c r="P54" s="311">
        <f t="shared" ref="P54:P59" si="51">O54*$E54</f>
        <v>0</v>
      </c>
      <c r="Q54" s="310">
        <v>2850</v>
      </c>
      <c r="R54" s="311">
        <f t="shared" ref="R54:R59" si="52">Q54*$E54</f>
        <v>45600</v>
      </c>
      <c r="S54" s="310"/>
      <c r="T54" s="311">
        <f t="shared" ref="T54:T59" si="53">S54*$E54</f>
        <v>0</v>
      </c>
      <c r="U54" s="317"/>
      <c r="V54" s="318">
        <v>16</v>
      </c>
      <c r="W54" s="319">
        <f t="shared" si="26"/>
        <v>0</v>
      </c>
      <c r="X54" s="307"/>
      <c r="Y54" s="308">
        <f t="shared" ref="Y54:Y59" si="54">X54*$E54</f>
        <v>0</v>
      </c>
      <c r="Z54" s="307"/>
      <c r="AA54" s="308">
        <f t="shared" ref="AA54:AA59" si="55">Z54*$E54</f>
        <v>0</v>
      </c>
      <c r="AB54" s="307"/>
      <c r="AC54" s="308">
        <f t="shared" ref="AC54:AC59" si="56">AB54*$E54</f>
        <v>0</v>
      </c>
      <c r="AD54" s="313"/>
      <c r="AE54" s="311">
        <f t="shared" ref="AE54:AE59" si="57">AD54*$E54</f>
        <v>0</v>
      </c>
      <c r="AF54" s="306">
        <v>3114</v>
      </c>
      <c r="AG54" s="314">
        <v>16</v>
      </c>
      <c r="AH54" s="312">
        <f t="shared" ref="AH54:AH59" si="58">AF54*$AG54</f>
        <v>49824</v>
      </c>
      <c r="AI54" s="310"/>
      <c r="AJ54" s="311">
        <f t="shared" ref="AJ54:AJ59" si="59">AI54*$E54</f>
        <v>0</v>
      </c>
      <c r="AK54" s="306"/>
      <c r="AL54" s="308">
        <f t="shared" ref="AL54:AL59" si="60">AK54*$E54</f>
        <v>0</v>
      </c>
      <c r="AM54" s="307"/>
      <c r="AN54" s="308">
        <f t="shared" ref="AN54:AN59" si="61">AM54*$E54</f>
        <v>0</v>
      </c>
      <c r="AO54" s="308"/>
      <c r="AP54" s="308">
        <f t="shared" ref="AP54:AP59" si="62">AO54*$E54</f>
        <v>0</v>
      </c>
      <c r="AQ54" s="308"/>
      <c r="AR54" s="308">
        <f t="shared" ref="AR54:AR59" si="63">AQ54*$E54</f>
        <v>0</v>
      </c>
      <c r="AS54" s="310"/>
      <c r="AT54" s="311">
        <f t="shared" ref="AT54:AT59" si="64">AS54*$E54</f>
        <v>0</v>
      </c>
      <c r="AU54" s="306"/>
      <c r="AV54" s="312">
        <f t="shared" ref="AV54:AV59" si="65">AU54*$E54</f>
        <v>0</v>
      </c>
      <c r="AW54" s="310"/>
      <c r="AX54" s="310">
        <f t="shared" ref="AX54:AX59" si="66">AW54*$E54</f>
        <v>0</v>
      </c>
      <c r="AY54" s="308"/>
      <c r="AZ54" s="309">
        <f t="shared" ref="AZ54:AZ59" si="67">AY54*$E54</f>
        <v>0</v>
      </c>
      <c r="BA54" s="306"/>
      <c r="BB54" s="312">
        <f t="shared" ref="BB54:BB59" si="68">BA54*$E54</f>
        <v>0</v>
      </c>
      <c r="BC54" s="308"/>
      <c r="BD54" s="308">
        <f t="shared" ref="BD54:BD59" si="69">BC54*$E54</f>
        <v>0</v>
      </c>
      <c r="BE54" s="310"/>
      <c r="BF54" s="311">
        <f t="shared" ref="BF54:BF59" si="70">BE54*$E54</f>
        <v>0</v>
      </c>
      <c r="BG54" s="306"/>
      <c r="BH54" s="312">
        <f t="shared" ref="BH54:BH59" si="71">BG54*$E54</f>
        <v>0</v>
      </c>
      <c r="BI54" s="308"/>
      <c r="BJ54" s="308">
        <f t="shared" ref="BJ54:BJ59" si="72">BI54*$E54</f>
        <v>0</v>
      </c>
      <c r="BK54" s="310"/>
      <c r="BL54" s="311">
        <f t="shared" ref="BL54:BL59" si="73">BK54*$E54</f>
        <v>0</v>
      </c>
    </row>
    <row r="55" spans="2:64" s="188" customFormat="1" ht="37" customHeight="1" x14ac:dyDescent="0.35">
      <c r="B55" s="300" t="str">
        <f>IF(ISBLANK($E55)," ",IF(AND(COUNTA(E$35:$E55)+64&gt;72,COUNTA(E$35:$E55)+64&lt;78),CHAR(COUNTA(E$35:$E55)+65),IF(COUNTA(E$35:$E55)+64&gt;77,CHAR(COUNTA(E$35:$E55)+66),CHAR(COUNTA(E$35:$E55)+64))))</f>
        <v>W</v>
      </c>
      <c r="C55" s="347" t="s">
        <v>142</v>
      </c>
      <c r="D55" s="302" t="s">
        <v>124</v>
      </c>
      <c r="E55" s="303">
        <v>123</v>
      </c>
      <c r="F55" s="304">
        <v>108.9</v>
      </c>
      <c r="G55" s="305">
        <v>23740.2</v>
      </c>
      <c r="H55" s="306">
        <v>196</v>
      </c>
      <c r="I55" s="307">
        <v>123</v>
      </c>
      <c r="J55" s="308">
        <f t="shared" si="25"/>
        <v>24108</v>
      </c>
      <c r="K55" s="308"/>
      <c r="L55" s="308">
        <f t="shared" si="49"/>
        <v>0</v>
      </c>
      <c r="M55" s="308"/>
      <c r="N55" s="309">
        <f t="shared" si="50"/>
        <v>0</v>
      </c>
      <c r="O55" s="310"/>
      <c r="P55" s="311">
        <f t="shared" si="51"/>
        <v>0</v>
      </c>
      <c r="Q55" s="310">
        <v>185</v>
      </c>
      <c r="R55" s="311">
        <f t="shared" si="52"/>
        <v>22755</v>
      </c>
      <c r="S55" s="310"/>
      <c r="T55" s="311">
        <f t="shared" si="53"/>
        <v>0</v>
      </c>
      <c r="U55" s="306">
        <v>137</v>
      </c>
      <c r="V55" s="307">
        <v>218</v>
      </c>
      <c r="W55" s="308">
        <f t="shared" si="26"/>
        <v>29866</v>
      </c>
      <c r="X55" s="307"/>
      <c r="Y55" s="308">
        <f t="shared" si="54"/>
        <v>0</v>
      </c>
      <c r="Z55" s="307"/>
      <c r="AA55" s="308">
        <f t="shared" si="55"/>
        <v>0</v>
      </c>
      <c r="AB55" s="307"/>
      <c r="AC55" s="308">
        <f t="shared" si="56"/>
        <v>0</v>
      </c>
      <c r="AD55" s="313"/>
      <c r="AE55" s="311">
        <f t="shared" si="57"/>
        <v>0</v>
      </c>
      <c r="AF55" s="306">
        <v>87</v>
      </c>
      <c r="AG55" s="314">
        <v>123</v>
      </c>
      <c r="AH55" s="312">
        <f t="shared" si="58"/>
        <v>10701</v>
      </c>
      <c r="AI55" s="310"/>
      <c r="AJ55" s="311">
        <f t="shared" si="59"/>
        <v>0</v>
      </c>
      <c r="AK55" s="306"/>
      <c r="AL55" s="308">
        <f t="shared" si="60"/>
        <v>0</v>
      </c>
      <c r="AM55" s="307"/>
      <c r="AN55" s="308">
        <f t="shared" si="61"/>
        <v>0</v>
      </c>
      <c r="AO55" s="308"/>
      <c r="AP55" s="308">
        <f t="shared" si="62"/>
        <v>0</v>
      </c>
      <c r="AQ55" s="308"/>
      <c r="AR55" s="308">
        <f t="shared" si="63"/>
        <v>0</v>
      </c>
      <c r="AS55" s="310"/>
      <c r="AT55" s="311">
        <f t="shared" si="64"/>
        <v>0</v>
      </c>
      <c r="AU55" s="306"/>
      <c r="AV55" s="312">
        <f t="shared" si="65"/>
        <v>0</v>
      </c>
      <c r="AW55" s="310"/>
      <c r="AX55" s="310">
        <f t="shared" si="66"/>
        <v>0</v>
      </c>
      <c r="AY55" s="308"/>
      <c r="AZ55" s="309">
        <f t="shared" si="67"/>
        <v>0</v>
      </c>
      <c r="BA55" s="306"/>
      <c r="BB55" s="312">
        <f t="shared" si="68"/>
        <v>0</v>
      </c>
      <c r="BC55" s="308"/>
      <c r="BD55" s="308">
        <f t="shared" si="69"/>
        <v>0</v>
      </c>
      <c r="BE55" s="310"/>
      <c r="BF55" s="311">
        <f t="shared" si="70"/>
        <v>0</v>
      </c>
      <c r="BG55" s="306"/>
      <c r="BH55" s="312">
        <f t="shared" si="71"/>
        <v>0</v>
      </c>
      <c r="BI55" s="308"/>
      <c r="BJ55" s="308">
        <f t="shared" si="72"/>
        <v>0</v>
      </c>
      <c r="BK55" s="310"/>
      <c r="BL55" s="311">
        <f t="shared" si="73"/>
        <v>0</v>
      </c>
    </row>
    <row r="56" spans="2:64" s="188" customFormat="1" ht="37" customHeight="1" x14ac:dyDescent="0.35">
      <c r="B56" s="300"/>
      <c r="C56" s="315" t="s">
        <v>143</v>
      </c>
      <c r="D56" s="302" t="s">
        <v>103</v>
      </c>
      <c r="E56" s="303">
        <v>28</v>
      </c>
      <c r="F56" s="304">
        <v>9576</v>
      </c>
      <c r="G56" s="305">
        <v>268128</v>
      </c>
      <c r="H56" s="306"/>
      <c r="I56" s="307">
        <v>28</v>
      </c>
      <c r="J56" s="308">
        <f t="shared" si="25"/>
        <v>0</v>
      </c>
      <c r="K56" s="308"/>
      <c r="L56" s="308">
        <f t="shared" si="49"/>
        <v>0</v>
      </c>
      <c r="M56" s="308"/>
      <c r="N56" s="309">
        <f t="shared" si="50"/>
        <v>0</v>
      </c>
      <c r="O56" s="310"/>
      <c r="P56" s="311">
        <f t="shared" si="51"/>
        <v>0</v>
      </c>
      <c r="Q56" s="310">
        <v>2250</v>
      </c>
      <c r="R56" s="311">
        <f t="shared" si="52"/>
        <v>63000</v>
      </c>
      <c r="S56" s="310"/>
      <c r="T56" s="311">
        <f t="shared" si="53"/>
        <v>0</v>
      </c>
      <c r="U56" s="317"/>
      <c r="V56" s="318">
        <v>52</v>
      </c>
      <c r="W56" s="319">
        <f t="shared" si="26"/>
        <v>0</v>
      </c>
      <c r="X56" s="307"/>
      <c r="Y56" s="308">
        <f t="shared" si="54"/>
        <v>0</v>
      </c>
      <c r="Z56" s="307"/>
      <c r="AA56" s="308">
        <f t="shared" si="55"/>
        <v>0</v>
      </c>
      <c r="AB56" s="307"/>
      <c r="AC56" s="308">
        <f t="shared" si="56"/>
        <v>0</v>
      </c>
      <c r="AD56" s="313"/>
      <c r="AE56" s="311">
        <f t="shared" si="57"/>
        <v>0</v>
      </c>
      <c r="AF56" s="322"/>
      <c r="AG56" s="323">
        <v>28</v>
      </c>
      <c r="AH56" s="324">
        <f t="shared" si="58"/>
        <v>0</v>
      </c>
      <c r="AI56" s="310"/>
      <c r="AJ56" s="311">
        <f t="shared" si="59"/>
        <v>0</v>
      </c>
      <c r="AK56" s="306"/>
      <c r="AL56" s="308">
        <f t="shared" si="60"/>
        <v>0</v>
      </c>
      <c r="AM56" s="307"/>
      <c r="AN56" s="308">
        <f t="shared" si="61"/>
        <v>0</v>
      </c>
      <c r="AO56" s="308"/>
      <c r="AP56" s="308">
        <f t="shared" si="62"/>
        <v>0</v>
      </c>
      <c r="AQ56" s="308"/>
      <c r="AR56" s="308">
        <f t="shared" si="63"/>
        <v>0</v>
      </c>
      <c r="AS56" s="310"/>
      <c r="AT56" s="311">
        <f t="shared" si="64"/>
        <v>0</v>
      </c>
      <c r="AU56" s="306"/>
      <c r="AV56" s="312">
        <f t="shared" si="65"/>
        <v>0</v>
      </c>
      <c r="AW56" s="310"/>
      <c r="AX56" s="310">
        <f t="shared" si="66"/>
        <v>0</v>
      </c>
      <c r="AY56" s="308"/>
      <c r="AZ56" s="309">
        <f t="shared" si="67"/>
        <v>0</v>
      </c>
      <c r="BA56" s="306"/>
      <c r="BB56" s="312">
        <f t="shared" si="68"/>
        <v>0</v>
      </c>
      <c r="BC56" s="308"/>
      <c r="BD56" s="308">
        <f t="shared" si="69"/>
        <v>0</v>
      </c>
      <c r="BE56" s="310"/>
      <c r="BF56" s="311">
        <f t="shared" si="70"/>
        <v>0</v>
      </c>
      <c r="BG56" s="306"/>
      <c r="BH56" s="312">
        <f t="shared" si="71"/>
        <v>0</v>
      </c>
      <c r="BI56" s="308"/>
      <c r="BJ56" s="308">
        <f t="shared" si="72"/>
        <v>0</v>
      </c>
      <c r="BK56" s="310"/>
      <c r="BL56" s="311">
        <f t="shared" si="73"/>
        <v>0</v>
      </c>
    </row>
    <row r="57" spans="2:64" s="188" customFormat="1" ht="37" customHeight="1" x14ac:dyDescent="0.35">
      <c r="B57" s="300"/>
      <c r="C57" s="315" t="s">
        <v>144</v>
      </c>
      <c r="D57" s="302" t="s">
        <v>135</v>
      </c>
      <c r="E57" s="303">
        <v>1</v>
      </c>
      <c r="F57" s="304">
        <v>18956.7</v>
      </c>
      <c r="G57" s="305">
        <v>37913.4</v>
      </c>
      <c r="H57" s="306">
        <v>149297</v>
      </c>
      <c r="I57" s="307">
        <v>1</v>
      </c>
      <c r="J57" s="308">
        <f t="shared" si="25"/>
        <v>149297</v>
      </c>
      <c r="K57" s="308"/>
      <c r="L57" s="308">
        <f t="shared" si="49"/>
        <v>0</v>
      </c>
      <c r="M57" s="308"/>
      <c r="N57" s="309">
        <f t="shared" si="50"/>
        <v>0</v>
      </c>
      <c r="O57" s="310"/>
      <c r="P57" s="311">
        <f t="shared" si="51"/>
        <v>0</v>
      </c>
      <c r="Q57" s="310">
        <v>48000</v>
      </c>
      <c r="R57" s="311">
        <f t="shared" si="52"/>
        <v>48000</v>
      </c>
      <c r="S57" s="310"/>
      <c r="T57" s="311">
        <f t="shared" si="53"/>
        <v>0</v>
      </c>
      <c r="U57" s="317"/>
      <c r="V57" s="318">
        <v>2</v>
      </c>
      <c r="W57" s="319">
        <f t="shared" si="26"/>
        <v>0</v>
      </c>
      <c r="X57" s="307"/>
      <c r="Y57" s="308">
        <f t="shared" si="54"/>
        <v>0</v>
      </c>
      <c r="Z57" s="307"/>
      <c r="AA57" s="308">
        <f t="shared" si="55"/>
        <v>0</v>
      </c>
      <c r="AB57" s="307"/>
      <c r="AC57" s="308">
        <f t="shared" si="56"/>
        <v>0</v>
      </c>
      <c r="AD57" s="313"/>
      <c r="AE57" s="311">
        <f t="shared" si="57"/>
        <v>0</v>
      </c>
      <c r="AF57" s="306">
        <v>36587</v>
      </c>
      <c r="AG57" s="314">
        <v>1</v>
      </c>
      <c r="AH57" s="312">
        <f t="shared" si="58"/>
        <v>36587</v>
      </c>
      <c r="AI57" s="310"/>
      <c r="AJ57" s="311">
        <f t="shared" si="59"/>
        <v>0</v>
      </c>
      <c r="AK57" s="306"/>
      <c r="AL57" s="308">
        <f t="shared" si="60"/>
        <v>0</v>
      </c>
      <c r="AM57" s="307"/>
      <c r="AN57" s="308">
        <f t="shared" si="61"/>
        <v>0</v>
      </c>
      <c r="AO57" s="308"/>
      <c r="AP57" s="308">
        <f t="shared" si="62"/>
        <v>0</v>
      </c>
      <c r="AQ57" s="308"/>
      <c r="AR57" s="308">
        <f t="shared" si="63"/>
        <v>0</v>
      </c>
      <c r="AS57" s="310"/>
      <c r="AT57" s="311">
        <f t="shared" si="64"/>
        <v>0</v>
      </c>
      <c r="AU57" s="306"/>
      <c r="AV57" s="312">
        <f t="shared" si="65"/>
        <v>0</v>
      </c>
      <c r="AW57" s="310"/>
      <c r="AX57" s="310">
        <f t="shared" si="66"/>
        <v>0</v>
      </c>
      <c r="AY57" s="308"/>
      <c r="AZ57" s="309">
        <f t="shared" si="67"/>
        <v>0</v>
      </c>
      <c r="BA57" s="306"/>
      <c r="BB57" s="312">
        <f t="shared" si="68"/>
        <v>0</v>
      </c>
      <c r="BC57" s="308"/>
      <c r="BD57" s="308">
        <f t="shared" si="69"/>
        <v>0</v>
      </c>
      <c r="BE57" s="310"/>
      <c r="BF57" s="311">
        <f t="shared" si="70"/>
        <v>0</v>
      </c>
      <c r="BG57" s="306"/>
      <c r="BH57" s="312">
        <f t="shared" si="71"/>
        <v>0</v>
      </c>
      <c r="BI57" s="308"/>
      <c r="BJ57" s="308">
        <f t="shared" si="72"/>
        <v>0</v>
      </c>
      <c r="BK57" s="310"/>
      <c r="BL57" s="311">
        <f t="shared" si="73"/>
        <v>0</v>
      </c>
    </row>
    <row r="58" spans="2:64" s="188" customFormat="1" ht="37" customHeight="1" x14ac:dyDescent="0.35">
      <c r="B58" s="300"/>
      <c r="C58" s="315" t="s">
        <v>145</v>
      </c>
      <c r="D58" s="302" t="s">
        <v>135</v>
      </c>
      <c r="E58" s="303">
        <v>1</v>
      </c>
      <c r="F58" s="304">
        <v>18956.7</v>
      </c>
      <c r="G58" s="305">
        <v>37913.4</v>
      </c>
      <c r="H58" s="306">
        <v>137640</v>
      </c>
      <c r="I58" s="307">
        <v>1</v>
      </c>
      <c r="J58" s="308">
        <f t="shared" si="25"/>
        <v>137640</v>
      </c>
      <c r="K58" s="308"/>
      <c r="L58" s="308">
        <f t="shared" si="49"/>
        <v>0</v>
      </c>
      <c r="M58" s="308"/>
      <c r="N58" s="309">
        <f t="shared" si="50"/>
        <v>0</v>
      </c>
      <c r="O58" s="310"/>
      <c r="P58" s="311">
        <f t="shared" si="51"/>
        <v>0</v>
      </c>
      <c r="Q58" s="310">
        <v>43500</v>
      </c>
      <c r="R58" s="311">
        <f t="shared" si="52"/>
        <v>43500</v>
      </c>
      <c r="S58" s="310"/>
      <c r="T58" s="311">
        <f t="shared" si="53"/>
        <v>0</v>
      </c>
      <c r="U58" s="317"/>
      <c r="V58" s="318">
        <v>2</v>
      </c>
      <c r="W58" s="319">
        <f t="shared" si="26"/>
        <v>0</v>
      </c>
      <c r="X58" s="307"/>
      <c r="Y58" s="308">
        <f t="shared" si="54"/>
        <v>0</v>
      </c>
      <c r="Z58" s="307"/>
      <c r="AA58" s="308">
        <f t="shared" si="55"/>
        <v>0</v>
      </c>
      <c r="AB58" s="307"/>
      <c r="AC58" s="308">
        <f t="shared" si="56"/>
        <v>0</v>
      </c>
      <c r="AD58" s="313"/>
      <c r="AE58" s="311">
        <f t="shared" si="57"/>
        <v>0</v>
      </c>
      <c r="AF58" s="306">
        <v>26667</v>
      </c>
      <c r="AG58" s="314">
        <v>1</v>
      </c>
      <c r="AH58" s="312">
        <f t="shared" si="58"/>
        <v>26667</v>
      </c>
      <c r="AI58" s="310"/>
      <c r="AJ58" s="311">
        <f t="shared" si="59"/>
        <v>0</v>
      </c>
      <c r="AK58" s="306"/>
      <c r="AL58" s="308">
        <f t="shared" si="60"/>
        <v>0</v>
      </c>
      <c r="AM58" s="307"/>
      <c r="AN58" s="308">
        <f t="shared" si="61"/>
        <v>0</v>
      </c>
      <c r="AO58" s="308"/>
      <c r="AP58" s="308">
        <f t="shared" si="62"/>
        <v>0</v>
      </c>
      <c r="AQ58" s="308"/>
      <c r="AR58" s="308">
        <f t="shared" si="63"/>
        <v>0</v>
      </c>
      <c r="AS58" s="310"/>
      <c r="AT58" s="311">
        <f t="shared" si="64"/>
        <v>0</v>
      </c>
      <c r="AU58" s="306"/>
      <c r="AV58" s="312">
        <f t="shared" si="65"/>
        <v>0</v>
      </c>
      <c r="AW58" s="310"/>
      <c r="AX58" s="310">
        <f t="shared" si="66"/>
        <v>0</v>
      </c>
      <c r="AY58" s="308"/>
      <c r="AZ58" s="309">
        <f t="shared" si="67"/>
        <v>0</v>
      </c>
      <c r="BA58" s="306"/>
      <c r="BB58" s="312">
        <f t="shared" si="68"/>
        <v>0</v>
      </c>
      <c r="BC58" s="308"/>
      <c r="BD58" s="308">
        <f t="shared" si="69"/>
        <v>0</v>
      </c>
      <c r="BE58" s="310"/>
      <c r="BF58" s="311">
        <f t="shared" si="70"/>
        <v>0</v>
      </c>
      <c r="BG58" s="306"/>
      <c r="BH58" s="312">
        <f t="shared" si="71"/>
        <v>0</v>
      </c>
      <c r="BI58" s="308"/>
      <c r="BJ58" s="308">
        <f t="shared" si="72"/>
        <v>0</v>
      </c>
      <c r="BK58" s="310"/>
      <c r="BL58" s="311">
        <f t="shared" si="73"/>
        <v>0</v>
      </c>
    </row>
    <row r="59" spans="2:64" s="188" customFormat="1" ht="37" customHeight="1" x14ac:dyDescent="0.35">
      <c r="B59" s="300"/>
      <c r="C59" s="315" t="s">
        <v>146</v>
      </c>
      <c r="D59" s="302" t="s">
        <v>124</v>
      </c>
      <c r="E59" s="342">
        <v>10.4</v>
      </c>
      <c r="F59" s="304">
        <v>83.7</v>
      </c>
      <c r="G59" s="305">
        <v>870.48</v>
      </c>
      <c r="H59" s="306">
        <v>163</v>
      </c>
      <c r="I59" s="327">
        <v>1</v>
      </c>
      <c r="J59" s="308">
        <f t="shared" si="25"/>
        <v>163</v>
      </c>
      <c r="K59" s="308"/>
      <c r="L59" s="308">
        <f t="shared" si="49"/>
        <v>0</v>
      </c>
      <c r="M59" s="308"/>
      <c r="N59" s="309">
        <f t="shared" si="50"/>
        <v>0</v>
      </c>
      <c r="O59" s="310"/>
      <c r="P59" s="311">
        <f t="shared" si="51"/>
        <v>0</v>
      </c>
      <c r="Q59" s="310">
        <v>230</v>
      </c>
      <c r="R59" s="311">
        <f t="shared" si="52"/>
        <v>2392</v>
      </c>
      <c r="S59" s="310"/>
      <c r="T59" s="311">
        <f t="shared" si="53"/>
        <v>0</v>
      </c>
      <c r="U59" s="306">
        <v>105</v>
      </c>
      <c r="V59" s="307">
        <v>10</v>
      </c>
      <c r="W59" s="308">
        <f>V59*U59</f>
        <v>1050</v>
      </c>
      <c r="X59" s="307"/>
      <c r="Y59" s="308">
        <f t="shared" si="54"/>
        <v>0</v>
      </c>
      <c r="Z59" s="307"/>
      <c r="AA59" s="308">
        <f t="shared" si="55"/>
        <v>0</v>
      </c>
      <c r="AB59" s="307"/>
      <c r="AC59" s="308">
        <f t="shared" si="56"/>
        <v>0</v>
      </c>
      <c r="AD59" s="313"/>
      <c r="AE59" s="311">
        <f t="shared" si="57"/>
        <v>0</v>
      </c>
      <c r="AF59" s="306">
        <v>103</v>
      </c>
      <c r="AG59" s="314">
        <v>10.4</v>
      </c>
      <c r="AH59" s="312">
        <f t="shared" si="58"/>
        <v>1071.2</v>
      </c>
      <c r="AI59" s="310"/>
      <c r="AJ59" s="311">
        <f t="shared" si="59"/>
        <v>0</v>
      </c>
      <c r="AK59" s="306"/>
      <c r="AL59" s="308">
        <f t="shared" si="60"/>
        <v>0</v>
      </c>
      <c r="AM59" s="307"/>
      <c r="AN59" s="308">
        <f t="shared" si="61"/>
        <v>0</v>
      </c>
      <c r="AO59" s="308"/>
      <c r="AP59" s="308">
        <f t="shared" si="62"/>
        <v>0</v>
      </c>
      <c r="AQ59" s="308"/>
      <c r="AR59" s="308">
        <f t="shared" si="63"/>
        <v>0</v>
      </c>
      <c r="AS59" s="310"/>
      <c r="AT59" s="311">
        <f t="shared" si="64"/>
        <v>0</v>
      </c>
      <c r="AU59" s="306"/>
      <c r="AV59" s="312">
        <f t="shared" si="65"/>
        <v>0</v>
      </c>
      <c r="AW59" s="310"/>
      <c r="AX59" s="310">
        <f t="shared" si="66"/>
        <v>0</v>
      </c>
      <c r="AY59" s="308"/>
      <c r="AZ59" s="309">
        <f t="shared" si="67"/>
        <v>0</v>
      </c>
      <c r="BA59" s="306"/>
      <c r="BB59" s="312">
        <f t="shared" si="68"/>
        <v>0</v>
      </c>
      <c r="BC59" s="308"/>
      <c r="BD59" s="308">
        <f t="shared" si="69"/>
        <v>0</v>
      </c>
      <c r="BE59" s="310"/>
      <c r="BF59" s="311">
        <f t="shared" si="70"/>
        <v>0</v>
      </c>
      <c r="BG59" s="306"/>
      <c r="BH59" s="312">
        <f t="shared" si="71"/>
        <v>0</v>
      </c>
      <c r="BI59" s="308"/>
      <c r="BJ59" s="308">
        <f t="shared" si="72"/>
        <v>0</v>
      </c>
      <c r="BK59" s="310"/>
      <c r="BL59" s="311">
        <f t="shared" si="73"/>
        <v>0</v>
      </c>
    </row>
    <row r="60" spans="2:64" s="188" customFormat="1" ht="32.25" customHeight="1" x14ac:dyDescent="0.35">
      <c r="B60" s="290"/>
      <c r="C60" s="291" t="s">
        <v>147</v>
      </c>
      <c r="D60" s="290"/>
      <c r="E60" s="292"/>
      <c r="F60" s="293">
        <v>0</v>
      </c>
      <c r="G60" s="294">
        <v>0</v>
      </c>
      <c r="H60" s="295"/>
      <c r="I60" s="296"/>
      <c r="J60" s="297"/>
      <c r="K60" s="297"/>
      <c r="L60" s="297"/>
      <c r="M60" s="297"/>
      <c r="N60" s="298"/>
      <c r="O60" s="297"/>
      <c r="P60" s="298"/>
      <c r="Q60" s="297"/>
      <c r="R60" s="298"/>
      <c r="S60" s="297"/>
      <c r="T60" s="298"/>
      <c r="U60" s="295"/>
      <c r="V60" s="296"/>
      <c r="W60" s="297"/>
      <c r="X60" s="294"/>
      <c r="Y60" s="297"/>
      <c r="Z60" s="294"/>
      <c r="AA60" s="297"/>
      <c r="AB60" s="294"/>
      <c r="AC60" s="297"/>
      <c r="AD60" s="294"/>
      <c r="AE60" s="298"/>
      <c r="AF60" s="295"/>
      <c r="AG60" s="299"/>
      <c r="AH60" s="294"/>
      <c r="AI60" s="297"/>
      <c r="AJ60" s="298"/>
      <c r="AK60" s="295"/>
      <c r="AL60" s="297"/>
      <c r="AM60" s="296"/>
      <c r="AN60" s="297"/>
      <c r="AO60" s="297"/>
      <c r="AP60" s="297"/>
      <c r="AQ60" s="297"/>
      <c r="AR60" s="297"/>
      <c r="AS60" s="297"/>
      <c r="AT60" s="298"/>
      <c r="AU60" s="295"/>
      <c r="AV60" s="294"/>
      <c r="AW60" s="297"/>
      <c r="AX60" s="294"/>
      <c r="AY60" s="297"/>
      <c r="AZ60" s="298"/>
      <c r="BA60" s="295"/>
      <c r="BB60" s="294"/>
      <c r="BC60" s="296"/>
      <c r="BD60" s="294"/>
      <c r="BE60" s="297"/>
      <c r="BF60" s="298"/>
      <c r="BG60" s="295"/>
      <c r="BH60" s="294"/>
      <c r="BI60" s="297"/>
      <c r="BJ60" s="294"/>
      <c r="BK60" s="297" t="s">
        <v>97</v>
      </c>
      <c r="BL60" s="298"/>
    </row>
    <row r="61" spans="2:64" s="188" customFormat="1" ht="179" customHeight="1" x14ac:dyDescent="0.35">
      <c r="B61" s="300" t="str">
        <f>IF(ISBLANK($E61)," ",IF(AND(COUNTA(E$8:$E61)+64&gt;72,COUNTA(E$8:$E61)+64&lt;78),CHAR(COUNTA(E$8:$E61)+65),IF(COUNTA(E$8:$E61)+64&gt;77,CHAR(COUNTA(E$8:$E61)+66),CHAR(COUNTA(E$8:$E61)+64))))</f>
        <v xml:space="preserve"> </v>
      </c>
      <c r="C61" s="301" t="s">
        <v>148</v>
      </c>
      <c r="D61" s="302"/>
      <c r="E61" s="303"/>
      <c r="F61" s="304"/>
      <c r="G61" s="305"/>
      <c r="H61" s="306"/>
      <c r="I61" s="307"/>
      <c r="J61" s="308"/>
      <c r="K61" s="308"/>
      <c r="L61" s="308"/>
      <c r="M61" s="308"/>
      <c r="N61" s="309"/>
      <c r="O61" s="310"/>
      <c r="P61" s="311"/>
      <c r="Q61" s="310"/>
      <c r="R61" s="311"/>
      <c r="S61" s="310"/>
      <c r="T61" s="311"/>
      <c r="U61" s="306"/>
      <c r="V61" s="307"/>
      <c r="W61" s="308"/>
      <c r="X61" s="307"/>
      <c r="Y61" s="308"/>
      <c r="Z61" s="307"/>
      <c r="AA61" s="308"/>
      <c r="AB61" s="307"/>
      <c r="AC61" s="308"/>
      <c r="AD61" s="313"/>
      <c r="AE61" s="311"/>
      <c r="AF61" s="306"/>
      <c r="AG61" s="314"/>
      <c r="AH61" s="312"/>
      <c r="AI61" s="310"/>
      <c r="AJ61" s="311"/>
      <c r="AK61" s="306"/>
      <c r="AL61" s="308"/>
      <c r="AM61" s="307"/>
      <c r="AN61" s="308"/>
      <c r="AO61" s="308"/>
      <c r="AP61" s="308"/>
      <c r="AQ61" s="308"/>
      <c r="AR61" s="308"/>
      <c r="AS61" s="310"/>
      <c r="AT61" s="311"/>
      <c r="AU61" s="306"/>
      <c r="AV61" s="312"/>
      <c r="AW61" s="310"/>
      <c r="AX61" s="310"/>
      <c r="AY61" s="308"/>
      <c r="AZ61" s="309"/>
      <c r="BA61" s="306"/>
      <c r="BB61" s="312"/>
      <c r="BC61" s="308"/>
      <c r="BD61" s="308"/>
      <c r="BE61" s="310"/>
      <c r="BF61" s="311"/>
      <c r="BG61" s="306"/>
      <c r="BH61" s="312"/>
      <c r="BI61" s="308"/>
      <c r="BJ61" s="308"/>
      <c r="BK61" s="310"/>
      <c r="BL61" s="311"/>
    </row>
    <row r="62" spans="2:64" s="188" customFormat="1" ht="37" customHeight="1" x14ac:dyDescent="0.35">
      <c r="B62" s="300" t="str">
        <f>IF(ISBLANK($E62)," ",IF(AND(COUNTA(E$59:$E62)+64&gt;72,COUNTA(E$59:$E62)+64&lt;78),CHAR(COUNTA(E$59:$E62)+65),IF(COUNTA(E$59:$E62)+64&gt;77,CHAR(COUNTA(E$59:$E62)+66),CHAR(COUNTA(E$59:$E62)+64))))</f>
        <v>B</v>
      </c>
      <c r="C62" s="315" t="s">
        <v>149</v>
      </c>
      <c r="D62" s="302" t="s">
        <v>135</v>
      </c>
      <c r="E62" s="350">
        <v>14</v>
      </c>
      <c r="F62" s="304">
        <v>3431.7000000000003</v>
      </c>
      <c r="G62" s="305">
        <v>48043.8</v>
      </c>
      <c r="H62" s="306">
        <v>6772</v>
      </c>
      <c r="I62" s="307">
        <v>14</v>
      </c>
      <c r="J62" s="308">
        <f t="shared" ref="J62:J71" si="74">H62*$I62</f>
        <v>94808</v>
      </c>
      <c r="K62" s="308"/>
      <c r="L62" s="308">
        <f t="shared" ref="L62:L71" si="75">K62*$E62</f>
        <v>0</v>
      </c>
      <c r="M62" s="308"/>
      <c r="N62" s="309">
        <f t="shared" ref="N62:N71" si="76">M62*$E62</f>
        <v>0</v>
      </c>
      <c r="O62" s="310"/>
      <c r="P62" s="311">
        <f t="shared" ref="P62:P71" si="77">O62*$E62</f>
        <v>0</v>
      </c>
      <c r="Q62" s="310">
        <v>2900</v>
      </c>
      <c r="R62" s="311">
        <f t="shared" ref="R62:R71" si="78">Q62*$E62</f>
        <v>40600</v>
      </c>
      <c r="S62" s="310"/>
      <c r="T62" s="311">
        <f t="shared" ref="T62:T71" si="79">S62*$E62</f>
        <v>0</v>
      </c>
      <c r="U62" s="317">
        <v>4072</v>
      </c>
      <c r="V62" s="318">
        <v>14</v>
      </c>
      <c r="W62" s="319">
        <f>U62*$V62</f>
        <v>57008</v>
      </c>
      <c r="X62" s="307"/>
      <c r="Y62" s="308">
        <f t="shared" ref="Y62:Y71" si="80">X62*$E62</f>
        <v>0</v>
      </c>
      <c r="Z62" s="307"/>
      <c r="AA62" s="308">
        <f t="shared" ref="AA62:AA71" si="81">Z62*$E62</f>
        <v>0</v>
      </c>
      <c r="AB62" s="307"/>
      <c r="AC62" s="308">
        <f t="shared" ref="AC62:AC71" si="82">AB62*$E62</f>
        <v>0</v>
      </c>
      <c r="AD62" s="313"/>
      <c r="AE62" s="311">
        <f t="shared" ref="AE62:AE71" si="83">AD62*$E62</f>
        <v>0</v>
      </c>
      <c r="AF62" s="306">
        <v>1578</v>
      </c>
      <c r="AG62" s="314">
        <v>14</v>
      </c>
      <c r="AH62" s="312">
        <f t="shared" ref="AH62:AH71" si="84">AF62*$AG62</f>
        <v>22092</v>
      </c>
      <c r="AI62" s="310"/>
      <c r="AJ62" s="311">
        <f t="shared" ref="AJ62:AJ71" si="85">AI62*$E62</f>
        <v>0</v>
      </c>
      <c r="AK62" s="306"/>
      <c r="AL62" s="308">
        <f t="shared" ref="AL62:AL71" si="86">AK62*$E62</f>
        <v>0</v>
      </c>
      <c r="AM62" s="307"/>
      <c r="AN62" s="308">
        <f t="shared" ref="AN62:AN71" si="87">AM62*$E62</f>
        <v>0</v>
      </c>
      <c r="AO62" s="308"/>
      <c r="AP62" s="308">
        <f t="shared" ref="AP62:AP71" si="88">AO62*$E62</f>
        <v>0</v>
      </c>
      <c r="AQ62" s="308"/>
      <c r="AR62" s="308">
        <f t="shared" ref="AR62:AR71" si="89">AQ62*$E62</f>
        <v>0</v>
      </c>
      <c r="AS62" s="310"/>
      <c r="AT62" s="311">
        <f t="shared" ref="AT62:AT71" si="90">AS62*$E62</f>
        <v>0</v>
      </c>
      <c r="AU62" s="306"/>
      <c r="AV62" s="312">
        <f t="shared" ref="AV62:AV71" si="91">AU62*$E62</f>
        <v>0</v>
      </c>
      <c r="AW62" s="310"/>
      <c r="AX62" s="310">
        <f t="shared" ref="AX62:AX71" si="92">AW62*$E62</f>
        <v>0</v>
      </c>
      <c r="AY62" s="308"/>
      <c r="AZ62" s="309">
        <f t="shared" ref="AZ62:AZ71" si="93">AY62*$E62</f>
        <v>0</v>
      </c>
      <c r="BA62" s="306"/>
      <c r="BB62" s="312">
        <f t="shared" ref="BB62:BB71" si="94">BA62*$E62</f>
        <v>0</v>
      </c>
      <c r="BC62" s="308"/>
      <c r="BD62" s="308">
        <f t="shared" ref="BD62:BD71" si="95">BC62*$E62</f>
        <v>0</v>
      </c>
      <c r="BE62" s="310"/>
      <c r="BF62" s="311">
        <f t="shared" ref="BF62:BF71" si="96">BE62*$E62</f>
        <v>0</v>
      </c>
      <c r="BG62" s="306"/>
      <c r="BH62" s="312">
        <f t="shared" ref="BH62:BH71" si="97">BG62*$E62</f>
        <v>0</v>
      </c>
      <c r="BI62" s="308"/>
      <c r="BJ62" s="308">
        <f t="shared" ref="BJ62:BJ71" si="98">BI62*$E62</f>
        <v>0</v>
      </c>
      <c r="BK62" s="310"/>
      <c r="BL62" s="311">
        <f t="shared" ref="BL62:BL71" si="99">BK62*$E62</f>
        <v>0</v>
      </c>
    </row>
    <row r="63" spans="2:64" s="188" customFormat="1" ht="37" customHeight="1" x14ac:dyDescent="0.35">
      <c r="B63" s="300" t="str">
        <f>IF(ISBLANK($E63)," ",IF(AND(COUNTA(E$59:$E63)+64&gt;72,COUNTA(E$59:$E63)+64&lt;78),CHAR(COUNTA(E$59:$E63)+65),IF(COUNTA(E$59:$E63)+64&gt;77,CHAR(COUNTA(E$59:$E63)+66),CHAR(COUNTA(E$59:$E63)+64))))</f>
        <v>C</v>
      </c>
      <c r="C63" s="315" t="s">
        <v>150</v>
      </c>
      <c r="D63" s="302" t="s">
        <v>135</v>
      </c>
      <c r="E63" s="342">
        <v>1</v>
      </c>
      <c r="F63" s="304">
        <v>2617.2000000000003</v>
      </c>
      <c r="G63" s="305">
        <v>2617.2000000000003</v>
      </c>
      <c r="H63" s="306">
        <v>3975</v>
      </c>
      <c r="I63" s="327">
        <v>13</v>
      </c>
      <c r="J63" s="308">
        <f t="shared" si="74"/>
        <v>51675</v>
      </c>
      <c r="K63" s="308"/>
      <c r="L63" s="308">
        <f t="shared" si="75"/>
        <v>0</v>
      </c>
      <c r="M63" s="308"/>
      <c r="N63" s="309">
        <f t="shared" si="76"/>
        <v>0</v>
      </c>
      <c r="O63" s="310"/>
      <c r="P63" s="311">
        <f t="shared" si="77"/>
        <v>0</v>
      </c>
      <c r="Q63" s="310">
        <v>1950</v>
      </c>
      <c r="R63" s="311">
        <f t="shared" si="78"/>
        <v>1950</v>
      </c>
      <c r="S63" s="310"/>
      <c r="T63" s="311">
        <f t="shared" si="79"/>
        <v>0</v>
      </c>
      <c r="U63" s="306">
        <v>3559</v>
      </c>
      <c r="V63" s="307">
        <v>1</v>
      </c>
      <c r="W63" s="308">
        <f t="shared" ref="W63:W71" si="100">U63*$V63</f>
        <v>3559</v>
      </c>
      <c r="X63" s="307"/>
      <c r="Y63" s="308">
        <f t="shared" si="80"/>
        <v>0</v>
      </c>
      <c r="Z63" s="307"/>
      <c r="AA63" s="308">
        <f t="shared" si="81"/>
        <v>0</v>
      </c>
      <c r="AB63" s="307"/>
      <c r="AC63" s="308">
        <f t="shared" si="82"/>
        <v>0</v>
      </c>
      <c r="AD63" s="313"/>
      <c r="AE63" s="311">
        <f t="shared" si="83"/>
        <v>0</v>
      </c>
      <c r="AF63" s="306">
        <v>1651</v>
      </c>
      <c r="AG63" s="314">
        <v>1</v>
      </c>
      <c r="AH63" s="312">
        <f t="shared" si="84"/>
        <v>1651</v>
      </c>
      <c r="AI63" s="310"/>
      <c r="AJ63" s="311">
        <f t="shared" si="85"/>
        <v>0</v>
      </c>
      <c r="AK63" s="306"/>
      <c r="AL63" s="308">
        <f t="shared" si="86"/>
        <v>0</v>
      </c>
      <c r="AM63" s="307"/>
      <c r="AN63" s="308">
        <f t="shared" si="87"/>
        <v>0</v>
      </c>
      <c r="AO63" s="308"/>
      <c r="AP63" s="308">
        <f t="shared" si="88"/>
        <v>0</v>
      </c>
      <c r="AQ63" s="308"/>
      <c r="AR63" s="308">
        <f t="shared" si="89"/>
        <v>0</v>
      </c>
      <c r="AS63" s="310"/>
      <c r="AT63" s="311">
        <f t="shared" si="90"/>
        <v>0</v>
      </c>
      <c r="AU63" s="306"/>
      <c r="AV63" s="312">
        <f t="shared" si="91"/>
        <v>0</v>
      </c>
      <c r="AW63" s="310"/>
      <c r="AX63" s="310">
        <f t="shared" si="92"/>
        <v>0</v>
      </c>
      <c r="AY63" s="308"/>
      <c r="AZ63" s="309">
        <f t="shared" si="93"/>
        <v>0</v>
      </c>
      <c r="BA63" s="306"/>
      <c r="BB63" s="312">
        <f t="shared" si="94"/>
        <v>0</v>
      </c>
      <c r="BC63" s="308"/>
      <c r="BD63" s="308">
        <f t="shared" si="95"/>
        <v>0</v>
      </c>
      <c r="BE63" s="310"/>
      <c r="BF63" s="311">
        <f t="shared" si="96"/>
        <v>0</v>
      </c>
      <c r="BG63" s="306"/>
      <c r="BH63" s="312">
        <f t="shared" si="97"/>
        <v>0</v>
      </c>
      <c r="BI63" s="308"/>
      <c r="BJ63" s="308">
        <f t="shared" si="98"/>
        <v>0</v>
      </c>
      <c r="BK63" s="310"/>
      <c r="BL63" s="311">
        <f t="shared" si="99"/>
        <v>0</v>
      </c>
    </row>
    <row r="64" spans="2:64" s="188" customFormat="1" ht="37" customHeight="1" x14ac:dyDescent="0.35">
      <c r="B64" s="300" t="str">
        <f>IF(ISBLANK($E64)," ",IF(AND(COUNTA(E$59:$E64)+64&gt;72,COUNTA(E$59:$E64)+64&lt;78),CHAR(COUNTA(E$59:$E64)+65),IF(COUNTA(E$59:$E64)+64&gt;77,CHAR(COUNTA(E$59:$E64)+66),CHAR(COUNTA(E$59:$E64)+64))))</f>
        <v>D</v>
      </c>
      <c r="C64" s="315" t="s">
        <v>151</v>
      </c>
      <c r="D64" s="302" t="s">
        <v>135</v>
      </c>
      <c r="E64" s="303">
        <v>9</v>
      </c>
      <c r="F64" s="304">
        <v>2617.2000000000003</v>
      </c>
      <c r="G64" s="305">
        <v>23554.800000000003</v>
      </c>
      <c r="H64" s="306">
        <v>4908</v>
      </c>
      <c r="I64" s="307">
        <v>9</v>
      </c>
      <c r="J64" s="308">
        <f t="shared" si="74"/>
        <v>44172</v>
      </c>
      <c r="K64" s="308"/>
      <c r="L64" s="308">
        <f t="shared" si="75"/>
        <v>0</v>
      </c>
      <c r="M64" s="308"/>
      <c r="N64" s="309">
        <f t="shared" si="76"/>
        <v>0</v>
      </c>
      <c r="O64" s="310"/>
      <c r="P64" s="311">
        <f t="shared" si="77"/>
        <v>0</v>
      </c>
      <c r="Q64" s="310">
        <v>2450</v>
      </c>
      <c r="R64" s="311">
        <f t="shared" si="78"/>
        <v>22050</v>
      </c>
      <c r="S64" s="310"/>
      <c r="T64" s="311">
        <f t="shared" si="79"/>
        <v>0</v>
      </c>
      <c r="U64" s="306">
        <v>3301</v>
      </c>
      <c r="V64" s="307">
        <v>9</v>
      </c>
      <c r="W64" s="308">
        <f t="shared" si="100"/>
        <v>29709</v>
      </c>
      <c r="X64" s="307"/>
      <c r="Y64" s="308">
        <f t="shared" si="80"/>
        <v>0</v>
      </c>
      <c r="Z64" s="307"/>
      <c r="AA64" s="308">
        <f t="shared" si="81"/>
        <v>0</v>
      </c>
      <c r="AB64" s="307"/>
      <c r="AC64" s="308">
        <f t="shared" si="82"/>
        <v>0</v>
      </c>
      <c r="AD64" s="313"/>
      <c r="AE64" s="311">
        <f t="shared" si="83"/>
        <v>0</v>
      </c>
      <c r="AF64" s="306">
        <v>3050</v>
      </c>
      <c r="AG64" s="314">
        <v>9</v>
      </c>
      <c r="AH64" s="312">
        <f t="shared" si="84"/>
        <v>27450</v>
      </c>
      <c r="AI64" s="310"/>
      <c r="AJ64" s="311">
        <f t="shared" si="85"/>
        <v>0</v>
      </c>
      <c r="AK64" s="306"/>
      <c r="AL64" s="308">
        <f t="shared" si="86"/>
        <v>0</v>
      </c>
      <c r="AM64" s="307"/>
      <c r="AN64" s="308">
        <f t="shared" si="87"/>
        <v>0</v>
      </c>
      <c r="AO64" s="308"/>
      <c r="AP64" s="308">
        <f t="shared" si="88"/>
        <v>0</v>
      </c>
      <c r="AQ64" s="308"/>
      <c r="AR64" s="308">
        <f t="shared" si="89"/>
        <v>0</v>
      </c>
      <c r="AS64" s="310"/>
      <c r="AT64" s="311">
        <f t="shared" si="90"/>
        <v>0</v>
      </c>
      <c r="AU64" s="306"/>
      <c r="AV64" s="312">
        <f t="shared" si="91"/>
        <v>0</v>
      </c>
      <c r="AW64" s="310"/>
      <c r="AX64" s="310">
        <f t="shared" si="92"/>
        <v>0</v>
      </c>
      <c r="AY64" s="308"/>
      <c r="AZ64" s="309">
        <f t="shared" si="93"/>
        <v>0</v>
      </c>
      <c r="BA64" s="306"/>
      <c r="BB64" s="312">
        <f t="shared" si="94"/>
        <v>0</v>
      </c>
      <c r="BC64" s="308"/>
      <c r="BD64" s="308">
        <f t="shared" si="95"/>
        <v>0</v>
      </c>
      <c r="BE64" s="310"/>
      <c r="BF64" s="311">
        <f t="shared" si="96"/>
        <v>0</v>
      </c>
      <c r="BG64" s="306"/>
      <c r="BH64" s="312">
        <f t="shared" si="97"/>
        <v>0</v>
      </c>
      <c r="BI64" s="308"/>
      <c r="BJ64" s="308">
        <f t="shared" si="98"/>
        <v>0</v>
      </c>
      <c r="BK64" s="310"/>
      <c r="BL64" s="311">
        <f t="shared" si="99"/>
        <v>0</v>
      </c>
    </row>
    <row r="65" spans="2:64" s="188" customFormat="1" ht="37" customHeight="1" x14ac:dyDescent="0.35">
      <c r="B65" s="300" t="str">
        <f>IF(ISBLANK($E65)," ",IF(AND(COUNTA(E$59:$E65)+64&gt;72,COUNTA(E$59:$E65)+64&lt;78),CHAR(COUNTA(E$59:$E65)+65),IF(COUNTA(E$59:$E65)+64&gt;77,CHAR(COUNTA(E$59:$E65)+66),CHAR(COUNTA(E$59:$E65)+64))))</f>
        <v>E</v>
      </c>
      <c r="C65" s="315" t="s">
        <v>152</v>
      </c>
      <c r="D65" s="302" t="s">
        <v>135</v>
      </c>
      <c r="E65" s="303">
        <v>1</v>
      </c>
      <c r="F65" s="304">
        <v>4752</v>
      </c>
      <c r="G65" s="305">
        <v>4752</v>
      </c>
      <c r="H65" s="306">
        <v>8222</v>
      </c>
      <c r="I65" s="307">
        <v>1</v>
      </c>
      <c r="J65" s="308">
        <f t="shared" si="74"/>
        <v>8222</v>
      </c>
      <c r="K65" s="308"/>
      <c r="L65" s="308">
        <f t="shared" si="75"/>
        <v>0</v>
      </c>
      <c r="M65" s="308"/>
      <c r="N65" s="309">
        <f t="shared" si="76"/>
        <v>0</v>
      </c>
      <c r="O65" s="310"/>
      <c r="P65" s="311">
        <f t="shared" si="77"/>
        <v>0</v>
      </c>
      <c r="Q65" s="310">
        <v>2900</v>
      </c>
      <c r="R65" s="311">
        <f t="shared" si="78"/>
        <v>2900</v>
      </c>
      <c r="S65" s="310"/>
      <c r="T65" s="311">
        <f t="shared" si="79"/>
        <v>0</v>
      </c>
      <c r="U65" s="306">
        <v>5993</v>
      </c>
      <c r="V65" s="307">
        <v>1</v>
      </c>
      <c r="W65" s="308">
        <f t="shared" si="100"/>
        <v>5993</v>
      </c>
      <c r="X65" s="307"/>
      <c r="Y65" s="308">
        <f t="shared" si="80"/>
        <v>0</v>
      </c>
      <c r="Z65" s="307"/>
      <c r="AA65" s="308">
        <f t="shared" si="81"/>
        <v>0</v>
      </c>
      <c r="AB65" s="307"/>
      <c r="AC65" s="308">
        <f t="shared" si="82"/>
        <v>0</v>
      </c>
      <c r="AD65" s="313"/>
      <c r="AE65" s="311">
        <f t="shared" si="83"/>
        <v>0</v>
      </c>
      <c r="AF65" s="306">
        <v>2023</v>
      </c>
      <c r="AG65" s="314">
        <v>1</v>
      </c>
      <c r="AH65" s="312">
        <f t="shared" si="84"/>
        <v>2023</v>
      </c>
      <c r="AI65" s="310"/>
      <c r="AJ65" s="311">
        <f t="shared" si="85"/>
        <v>0</v>
      </c>
      <c r="AK65" s="306"/>
      <c r="AL65" s="308">
        <f t="shared" si="86"/>
        <v>0</v>
      </c>
      <c r="AM65" s="307"/>
      <c r="AN65" s="308">
        <f t="shared" si="87"/>
        <v>0</v>
      </c>
      <c r="AO65" s="308"/>
      <c r="AP65" s="308">
        <f t="shared" si="88"/>
        <v>0</v>
      </c>
      <c r="AQ65" s="308"/>
      <c r="AR65" s="308">
        <f t="shared" si="89"/>
        <v>0</v>
      </c>
      <c r="AS65" s="310"/>
      <c r="AT65" s="311">
        <f t="shared" si="90"/>
        <v>0</v>
      </c>
      <c r="AU65" s="306"/>
      <c r="AV65" s="312">
        <f t="shared" si="91"/>
        <v>0</v>
      </c>
      <c r="AW65" s="310"/>
      <c r="AX65" s="310">
        <f t="shared" si="92"/>
        <v>0</v>
      </c>
      <c r="AY65" s="308"/>
      <c r="AZ65" s="309">
        <f t="shared" si="93"/>
        <v>0</v>
      </c>
      <c r="BA65" s="306"/>
      <c r="BB65" s="312">
        <f t="shared" si="94"/>
        <v>0</v>
      </c>
      <c r="BC65" s="308"/>
      <c r="BD65" s="308">
        <f t="shared" si="95"/>
        <v>0</v>
      </c>
      <c r="BE65" s="310"/>
      <c r="BF65" s="311">
        <f t="shared" si="96"/>
        <v>0</v>
      </c>
      <c r="BG65" s="306"/>
      <c r="BH65" s="312">
        <f t="shared" si="97"/>
        <v>0</v>
      </c>
      <c r="BI65" s="308"/>
      <c r="BJ65" s="308">
        <f t="shared" si="98"/>
        <v>0</v>
      </c>
      <c r="BK65" s="310"/>
      <c r="BL65" s="311">
        <f t="shared" si="99"/>
        <v>0</v>
      </c>
    </row>
    <row r="66" spans="2:64" s="188" customFormat="1" ht="37" customHeight="1" x14ac:dyDescent="0.35">
      <c r="B66" s="300" t="str">
        <f>IF(ISBLANK($E66)," ",IF(AND(COUNTA(E$59:$E66)+64&gt;72,COUNTA(E$59:$E66)+64&lt;78),CHAR(COUNTA(E$59:$E66)+65),IF(COUNTA(E$59:$E66)+64&gt;77,CHAR(COUNTA(E$59:$E66)+66),CHAR(COUNTA(E$59:$E66)+64))))</f>
        <v>F</v>
      </c>
      <c r="C66" s="315" t="s">
        <v>153</v>
      </c>
      <c r="D66" s="302" t="s">
        <v>135</v>
      </c>
      <c r="E66" s="303">
        <v>1</v>
      </c>
      <c r="F66" s="304">
        <v>5260.5</v>
      </c>
      <c r="G66" s="305">
        <v>5260.5</v>
      </c>
      <c r="H66" s="306">
        <v>12365</v>
      </c>
      <c r="I66" s="307">
        <v>1</v>
      </c>
      <c r="J66" s="308">
        <f t="shared" si="74"/>
        <v>12365</v>
      </c>
      <c r="K66" s="308"/>
      <c r="L66" s="308">
        <f t="shared" si="75"/>
        <v>0</v>
      </c>
      <c r="M66" s="308"/>
      <c r="N66" s="309">
        <f t="shared" si="76"/>
        <v>0</v>
      </c>
      <c r="O66" s="310"/>
      <c r="P66" s="311">
        <f t="shared" si="77"/>
        <v>0</v>
      </c>
      <c r="Q66" s="310">
        <v>2720</v>
      </c>
      <c r="R66" s="311">
        <f t="shared" si="78"/>
        <v>2720</v>
      </c>
      <c r="S66" s="310"/>
      <c r="T66" s="311">
        <f t="shared" si="79"/>
        <v>0</v>
      </c>
      <c r="U66" s="306">
        <v>6634</v>
      </c>
      <c r="V66" s="307">
        <v>1</v>
      </c>
      <c r="W66" s="308">
        <f t="shared" si="100"/>
        <v>6634</v>
      </c>
      <c r="X66" s="307"/>
      <c r="Y66" s="308">
        <f t="shared" si="80"/>
        <v>0</v>
      </c>
      <c r="Z66" s="307"/>
      <c r="AA66" s="308">
        <f t="shared" si="81"/>
        <v>0</v>
      </c>
      <c r="AB66" s="307"/>
      <c r="AC66" s="308">
        <f t="shared" si="82"/>
        <v>0</v>
      </c>
      <c r="AD66" s="313"/>
      <c r="AE66" s="311">
        <f t="shared" si="83"/>
        <v>0</v>
      </c>
      <c r="AF66" s="306">
        <v>9063</v>
      </c>
      <c r="AG66" s="314">
        <v>1</v>
      </c>
      <c r="AH66" s="312">
        <f t="shared" si="84"/>
        <v>9063</v>
      </c>
      <c r="AI66" s="310"/>
      <c r="AJ66" s="311">
        <f t="shared" si="85"/>
        <v>0</v>
      </c>
      <c r="AK66" s="306"/>
      <c r="AL66" s="308">
        <f t="shared" si="86"/>
        <v>0</v>
      </c>
      <c r="AM66" s="307"/>
      <c r="AN66" s="308">
        <f t="shared" si="87"/>
        <v>0</v>
      </c>
      <c r="AO66" s="308"/>
      <c r="AP66" s="308">
        <f t="shared" si="88"/>
        <v>0</v>
      </c>
      <c r="AQ66" s="308"/>
      <c r="AR66" s="308">
        <f t="shared" si="89"/>
        <v>0</v>
      </c>
      <c r="AS66" s="310"/>
      <c r="AT66" s="311">
        <f t="shared" si="90"/>
        <v>0</v>
      </c>
      <c r="AU66" s="306"/>
      <c r="AV66" s="312">
        <f t="shared" si="91"/>
        <v>0</v>
      </c>
      <c r="AW66" s="310"/>
      <c r="AX66" s="310">
        <f t="shared" si="92"/>
        <v>0</v>
      </c>
      <c r="AY66" s="308"/>
      <c r="AZ66" s="309">
        <f t="shared" si="93"/>
        <v>0</v>
      </c>
      <c r="BA66" s="306"/>
      <c r="BB66" s="312">
        <f t="shared" si="94"/>
        <v>0</v>
      </c>
      <c r="BC66" s="308"/>
      <c r="BD66" s="308">
        <f t="shared" si="95"/>
        <v>0</v>
      </c>
      <c r="BE66" s="310"/>
      <c r="BF66" s="311">
        <f t="shared" si="96"/>
        <v>0</v>
      </c>
      <c r="BG66" s="306"/>
      <c r="BH66" s="312">
        <f t="shared" si="97"/>
        <v>0</v>
      </c>
      <c r="BI66" s="308"/>
      <c r="BJ66" s="308">
        <f t="shared" si="98"/>
        <v>0</v>
      </c>
      <c r="BK66" s="310"/>
      <c r="BL66" s="311">
        <f t="shared" si="99"/>
        <v>0</v>
      </c>
    </row>
    <row r="67" spans="2:64" s="188" customFormat="1" ht="37" customHeight="1" x14ac:dyDescent="0.35">
      <c r="B67" s="300" t="str">
        <f>IF(ISBLANK($E67)," ",IF(AND(COUNTA(E$59:$E67)+64&gt;72,COUNTA(E$59:$E67)+64&lt;78),CHAR(COUNTA(E$59:$E67)+65),IF(COUNTA(E$59:$E67)+64&gt;77,CHAR(COUNTA(E$59:$E67)+66),CHAR(COUNTA(E$59:$E67)+64))))</f>
        <v>G</v>
      </c>
      <c r="C67" s="315" t="s">
        <v>154</v>
      </c>
      <c r="D67" s="302" t="s">
        <v>135</v>
      </c>
      <c r="E67" s="303">
        <v>7</v>
      </c>
      <c r="F67" s="304">
        <v>3836.7000000000003</v>
      </c>
      <c r="G67" s="305">
        <v>26856.9</v>
      </c>
      <c r="H67" s="306">
        <v>7600</v>
      </c>
      <c r="I67" s="307">
        <v>7</v>
      </c>
      <c r="J67" s="308">
        <f t="shared" si="74"/>
        <v>53200</v>
      </c>
      <c r="K67" s="308"/>
      <c r="L67" s="308">
        <f t="shared" si="75"/>
        <v>0</v>
      </c>
      <c r="M67" s="308"/>
      <c r="N67" s="309">
        <f t="shared" si="76"/>
        <v>0</v>
      </c>
      <c r="O67" s="310"/>
      <c r="P67" s="311">
        <f t="shared" si="77"/>
        <v>0</v>
      </c>
      <c r="Q67" s="310">
        <v>3850</v>
      </c>
      <c r="R67" s="311">
        <f t="shared" si="78"/>
        <v>26950</v>
      </c>
      <c r="S67" s="310"/>
      <c r="T67" s="311">
        <f t="shared" si="79"/>
        <v>0</v>
      </c>
      <c r="U67" s="306">
        <v>4839</v>
      </c>
      <c r="V67" s="307">
        <v>7</v>
      </c>
      <c r="W67" s="308">
        <f t="shared" si="100"/>
        <v>33873</v>
      </c>
      <c r="X67" s="307"/>
      <c r="Y67" s="308">
        <f t="shared" si="80"/>
        <v>0</v>
      </c>
      <c r="Z67" s="307"/>
      <c r="AA67" s="308">
        <f t="shared" si="81"/>
        <v>0</v>
      </c>
      <c r="AB67" s="307"/>
      <c r="AC67" s="308">
        <f t="shared" si="82"/>
        <v>0</v>
      </c>
      <c r="AD67" s="313"/>
      <c r="AE67" s="311">
        <f t="shared" si="83"/>
        <v>0</v>
      </c>
      <c r="AF67" s="306">
        <v>1583</v>
      </c>
      <c r="AG67" s="314">
        <v>7</v>
      </c>
      <c r="AH67" s="312">
        <f t="shared" si="84"/>
        <v>11081</v>
      </c>
      <c r="AI67" s="310"/>
      <c r="AJ67" s="311">
        <f t="shared" si="85"/>
        <v>0</v>
      </c>
      <c r="AK67" s="306"/>
      <c r="AL67" s="308">
        <f t="shared" si="86"/>
        <v>0</v>
      </c>
      <c r="AM67" s="307"/>
      <c r="AN67" s="308">
        <f t="shared" si="87"/>
        <v>0</v>
      </c>
      <c r="AO67" s="308"/>
      <c r="AP67" s="308">
        <f t="shared" si="88"/>
        <v>0</v>
      </c>
      <c r="AQ67" s="308"/>
      <c r="AR67" s="308">
        <f t="shared" si="89"/>
        <v>0</v>
      </c>
      <c r="AS67" s="310"/>
      <c r="AT67" s="311">
        <f t="shared" si="90"/>
        <v>0</v>
      </c>
      <c r="AU67" s="306"/>
      <c r="AV67" s="312">
        <f t="shared" si="91"/>
        <v>0</v>
      </c>
      <c r="AW67" s="310"/>
      <c r="AX67" s="310">
        <f t="shared" si="92"/>
        <v>0</v>
      </c>
      <c r="AY67" s="308"/>
      <c r="AZ67" s="309">
        <f t="shared" si="93"/>
        <v>0</v>
      </c>
      <c r="BA67" s="306"/>
      <c r="BB67" s="312">
        <f t="shared" si="94"/>
        <v>0</v>
      </c>
      <c r="BC67" s="308"/>
      <c r="BD67" s="308">
        <f t="shared" si="95"/>
        <v>0</v>
      </c>
      <c r="BE67" s="310"/>
      <c r="BF67" s="311">
        <f t="shared" si="96"/>
        <v>0</v>
      </c>
      <c r="BG67" s="306"/>
      <c r="BH67" s="312">
        <f t="shared" si="97"/>
        <v>0</v>
      </c>
      <c r="BI67" s="308"/>
      <c r="BJ67" s="308">
        <f t="shared" si="98"/>
        <v>0</v>
      </c>
      <c r="BK67" s="310"/>
      <c r="BL67" s="311">
        <f t="shared" si="99"/>
        <v>0</v>
      </c>
    </row>
    <row r="68" spans="2:64" s="188" customFormat="1" ht="37" customHeight="1" x14ac:dyDescent="0.35">
      <c r="B68" s="300" t="str">
        <f>IF(ISBLANK($E68)," ",IF(AND(COUNTA(E$59:$E68)+64&gt;72,COUNTA(E$59:$E68)+64&lt;78),CHAR(COUNTA(E$59:$E68)+65),IF(COUNTA(E$59:$E68)+64&gt;77,CHAR(COUNTA(E$59:$E68)+66),CHAR(COUNTA(E$59:$E68)+64))))</f>
        <v>H</v>
      </c>
      <c r="C68" s="315" t="s">
        <v>155</v>
      </c>
      <c r="D68" s="302" t="s">
        <v>135</v>
      </c>
      <c r="E68" s="303">
        <v>1</v>
      </c>
      <c r="F68" s="304">
        <v>7292.7</v>
      </c>
      <c r="G68" s="305">
        <v>7292.7</v>
      </c>
      <c r="H68" s="306">
        <v>12365</v>
      </c>
      <c r="I68" s="307">
        <v>1</v>
      </c>
      <c r="J68" s="308">
        <f t="shared" si="74"/>
        <v>12365</v>
      </c>
      <c r="K68" s="308"/>
      <c r="L68" s="308">
        <f t="shared" si="75"/>
        <v>0</v>
      </c>
      <c r="M68" s="308"/>
      <c r="N68" s="309">
        <f t="shared" si="76"/>
        <v>0</v>
      </c>
      <c r="O68" s="310"/>
      <c r="P68" s="311">
        <f t="shared" si="77"/>
        <v>0</v>
      </c>
      <c r="Q68" s="310">
        <v>3950</v>
      </c>
      <c r="R68" s="311">
        <f t="shared" si="78"/>
        <v>3950</v>
      </c>
      <c r="S68" s="310"/>
      <c r="T68" s="311">
        <f t="shared" si="79"/>
        <v>0</v>
      </c>
      <c r="U68" s="306">
        <v>9198</v>
      </c>
      <c r="V68" s="307">
        <v>1</v>
      </c>
      <c r="W68" s="308">
        <f t="shared" si="100"/>
        <v>9198</v>
      </c>
      <c r="X68" s="307"/>
      <c r="Y68" s="308">
        <f t="shared" si="80"/>
        <v>0</v>
      </c>
      <c r="Z68" s="307"/>
      <c r="AA68" s="308">
        <f t="shared" si="81"/>
        <v>0</v>
      </c>
      <c r="AB68" s="307"/>
      <c r="AC68" s="308">
        <f t="shared" si="82"/>
        <v>0</v>
      </c>
      <c r="AD68" s="313"/>
      <c r="AE68" s="311">
        <f t="shared" si="83"/>
        <v>0</v>
      </c>
      <c r="AF68" s="306">
        <v>2023</v>
      </c>
      <c r="AG68" s="314">
        <v>1</v>
      </c>
      <c r="AH68" s="312">
        <f t="shared" si="84"/>
        <v>2023</v>
      </c>
      <c r="AI68" s="310"/>
      <c r="AJ68" s="311">
        <f t="shared" si="85"/>
        <v>0</v>
      </c>
      <c r="AK68" s="306"/>
      <c r="AL68" s="308">
        <f t="shared" si="86"/>
        <v>0</v>
      </c>
      <c r="AM68" s="307"/>
      <c r="AN68" s="308">
        <f t="shared" si="87"/>
        <v>0</v>
      </c>
      <c r="AO68" s="308"/>
      <c r="AP68" s="308">
        <f t="shared" si="88"/>
        <v>0</v>
      </c>
      <c r="AQ68" s="308"/>
      <c r="AR68" s="308">
        <f t="shared" si="89"/>
        <v>0</v>
      </c>
      <c r="AS68" s="310"/>
      <c r="AT68" s="311">
        <f t="shared" si="90"/>
        <v>0</v>
      </c>
      <c r="AU68" s="306"/>
      <c r="AV68" s="312">
        <f t="shared" si="91"/>
        <v>0</v>
      </c>
      <c r="AW68" s="310"/>
      <c r="AX68" s="310">
        <f t="shared" si="92"/>
        <v>0</v>
      </c>
      <c r="AY68" s="308"/>
      <c r="AZ68" s="309">
        <f t="shared" si="93"/>
        <v>0</v>
      </c>
      <c r="BA68" s="306"/>
      <c r="BB68" s="312">
        <f t="shared" si="94"/>
        <v>0</v>
      </c>
      <c r="BC68" s="308"/>
      <c r="BD68" s="308">
        <f t="shared" si="95"/>
        <v>0</v>
      </c>
      <c r="BE68" s="310"/>
      <c r="BF68" s="311">
        <f t="shared" si="96"/>
        <v>0</v>
      </c>
      <c r="BG68" s="306"/>
      <c r="BH68" s="312">
        <f t="shared" si="97"/>
        <v>0</v>
      </c>
      <c r="BI68" s="308"/>
      <c r="BJ68" s="308">
        <f t="shared" si="98"/>
        <v>0</v>
      </c>
      <c r="BK68" s="310"/>
      <c r="BL68" s="311">
        <f t="shared" si="99"/>
        <v>0</v>
      </c>
    </row>
    <row r="69" spans="2:64" s="188" customFormat="1" ht="37" customHeight="1" x14ac:dyDescent="0.35">
      <c r="B69" s="300" t="str">
        <f>IF(ISBLANK($E69)," ",IF(AND(COUNTA(E$59:$E69)+64&gt;72,COUNTA(E$59:$E69)+64&lt;78),CHAR(COUNTA(E$59:$E69)+65),IF(COUNTA(E$59:$E69)+64&gt;77,CHAR(COUNTA(E$59:$E69)+66),CHAR(COUNTA(E$59:$E69)+64))))</f>
        <v>J</v>
      </c>
      <c r="C69" s="315" t="s">
        <v>156</v>
      </c>
      <c r="D69" s="302" t="s">
        <v>135</v>
      </c>
      <c r="E69" s="303">
        <v>8</v>
      </c>
      <c r="F69" s="304">
        <v>1397.7</v>
      </c>
      <c r="G69" s="305">
        <v>11181.6</v>
      </c>
      <c r="H69" s="306">
        <v>2940</v>
      </c>
      <c r="I69" s="307">
        <v>8</v>
      </c>
      <c r="J69" s="308">
        <f t="shared" si="74"/>
        <v>23520</v>
      </c>
      <c r="K69" s="308"/>
      <c r="L69" s="308">
        <f t="shared" si="75"/>
        <v>0</v>
      </c>
      <c r="M69" s="308"/>
      <c r="N69" s="309">
        <f t="shared" si="76"/>
        <v>0</v>
      </c>
      <c r="O69" s="310"/>
      <c r="P69" s="311">
        <f t="shared" si="77"/>
        <v>0</v>
      </c>
      <c r="Q69" s="310">
        <v>2150</v>
      </c>
      <c r="R69" s="311">
        <f t="shared" si="78"/>
        <v>17200</v>
      </c>
      <c r="S69" s="310"/>
      <c r="T69" s="311">
        <f t="shared" si="79"/>
        <v>0</v>
      </c>
      <c r="U69" s="306">
        <v>1762</v>
      </c>
      <c r="V69" s="307">
        <v>8</v>
      </c>
      <c r="W69" s="308">
        <f t="shared" si="100"/>
        <v>14096</v>
      </c>
      <c r="X69" s="307"/>
      <c r="Y69" s="308">
        <f t="shared" si="80"/>
        <v>0</v>
      </c>
      <c r="Z69" s="307"/>
      <c r="AA69" s="308">
        <f t="shared" si="81"/>
        <v>0</v>
      </c>
      <c r="AB69" s="307"/>
      <c r="AC69" s="308">
        <f t="shared" si="82"/>
        <v>0</v>
      </c>
      <c r="AD69" s="313"/>
      <c r="AE69" s="311">
        <f t="shared" si="83"/>
        <v>0</v>
      </c>
      <c r="AF69" s="306">
        <v>1143</v>
      </c>
      <c r="AG69" s="314">
        <v>8</v>
      </c>
      <c r="AH69" s="312">
        <f t="shared" si="84"/>
        <v>9144</v>
      </c>
      <c r="AI69" s="310"/>
      <c r="AJ69" s="311">
        <f t="shared" si="85"/>
        <v>0</v>
      </c>
      <c r="AK69" s="306"/>
      <c r="AL69" s="308">
        <f t="shared" si="86"/>
        <v>0</v>
      </c>
      <c r="AM69" s="307"/>
      <c r="AN69" s="308">
        <f t="shared" si="87"/>
        <v>0</v>
      </c>
      <c r="AO69" s="308"/>
      <c r="AP69" s="308">
        <f t="shared" si="88"/>
        <v>0</v>
      </c>
      <c r="AQ69" s="308"/>
      <c r="AR69" s="308">
        <f t="shared" si="89"/>
        <v>0</v>
      </c>
      <c r="AS69" s="310"/>
      <c r="AT69" s="311">
        <f t="shared" si="90"/>
        <v>0</v>
      </c>
      <c r="AU69" s="306"/>
      <c r="AV69" s="312">
        <f t="shared" si="91"/>
        <v>0</v>
      </c>
      <c r="AW69" s="310"/>
      <c r="AX69" s="310">
        <f t="shared" si="92"/>
        <v>0</v>
      </c>
      <c r="AY69" s="308"/>
      <c r="AZ69" s="309">
        <f t="shared" si="93"/>
        <v>0</v>
      </c>
      <c r="BA69" s="306"/>
      <c r="BB69" s="312">
        <f t="shared" si="94"/>
        <v>0</v>
      </c>
      <c r="BC69" s="308"/>
      <c r="BD69" s="308">
        <f t="shared" si="95"/>
        <v>0</v>
      </c>
      <c r="BE69" s="310"/>
      <c r="BF69" s="311">
        <f t="shared" si="96"/>
        <v>0</v>
      </c>
      <c r="BG69" s="306"/>
      <c r="BH69" s="312">
        <f t="shared" si="97"/>
        <v>0</v>
      </c>
      <c r="BI69" s="308"/>
      <c r="BJ69" s="308">
        <f t="shared" si="98"/>
        <v>0</v>
      </c>
      <c r="BK69" s="310"/>
      <c r="BL69" s="311">
        <f t="shared" si="99"/>
        <v>0</v>
      </c>
    </row>
    <row r="70" spans="2:64" s="188" customFormat="1" ht="37" customHeight="1" x14ac:dyDescent="0.35">
      <c r="B70" s="300" t="str">
        <f>IF(ISBLANK($E70)," ",IF(AND(COUNTA(E$59:$E70)+64&gt;72,COUNTA(E$59:$E70)+64&lt;78),CHAR(COUNTA(E$59:$E70)+65),IF(COUNTA(E$59:$E70)+64&gt;77,CHAR(COUNTA(E$59:$E70)+66),CHAR(COUNTA(E$59:$E70)+64))))</f>
        <v>K</v>
      </c>
      <c r="C70" s="315" t="s">
        <v>157</v>
      </c>
      <c r="D70" s="302" t="s">
        <v>135</v>
      </c>
      <c r="E70" s="303">
        <v>4</v>
      </c>
      <c r="F70" s="304">
        <v>2007.9</v>
      </c>
      <c r="G70" s="305">
        <v>8031.6</v>
      </c>
      <c r="H70" s="306">
        <v>3458</v>
      </c>
      <c r="I70" s="307">
        <v>4</v>
      </c>
      <c r="J70" s="308">
        <f t="shared" si="74"/>
        <v>13832</v>
      </c>
      <c r="K70" s="308"/>
      <c r="L70" s="308">
        <f t="shared" si="75"/>
        <v>0</v>
      </c>
      <c r="M70" s="308"/>
      <c r="N70" s="309">
        <f t="shared" si="76"/>
        <v>0</v>
      </c>
      <c r="O70" s="310"/>
      <c r="P70" s="311">
        <f t="shared" si="77"/>
        <v>0</v>
      </c>
      <c r="Q70" s="310">
        <v>2400</v>
      </c>
      <c r="R70" s="311">
        <f t="shared" si="78"/>
        <v>9600</v>
      </c>
      <c r="S70" s="310"/>
      <c r="T70" s="311">
        <f t="shared" si="79"/>
        <v>0</v>
      </c>
      <c r="U70" s="306">
        <v>2532</v>
      </c>
      <c r="V70" s="307">
        <v>4</v>
      </c>
      <c r="W70" s="308">
        <f t="shared" si="100"/>
        <v>10128</v>
      </c>
      <c r="X70" s="307"/>
      <c r="Y70" s="308">
        <f t="shared" si="80"/>
        <v>0</v>
      </c>
      <c r="Z70" s="307"/>
      <c r="AA70" s="308">
        <f t="shared" si="81"/>
        <v>0</v>
      </c>
      <c r="AB70" s="307"/>
      <c r="AC70" s="308">
        <f t="shared" si="82"/>
        <v>0</v>
      </c>
      <c r="AD70" s="313"/>
      <c r="AE70" s="311">
        <f t="shared" si="83"/>
        <v>0</v>
      </c>
      <c r="AF70" s="306">
        <v>1656</v>
      </c>
      <c r="AG70" s="314">
        <v>4</v>
      </c>
      <c r="AH70" s="312">
        <f t="shared" si="84"/>
        <v>6624</v>
      </c>
      <c r="AI70" s="310"/>
      <c r="AJ70" s="311">
        <f t="shared" si="85"/>
        <v>0</v>
      </c>
      <c r="AK70" s="306"/>
      <c r="AL70" s="308">
        <f t="shared" si="86"/>
        <v>0</v>
      </c>
      <c r="AM70" s="307"/>
      <c r="AN70" s="308">
        <f t="shared" si="87"/>
        <v>0</v>
      </c>
      <c r="AO70" s="308"/>
      <c r="AP70" s="308">
        <f t="shared" si="88"/>
        <v>0</v>
      </c>
      <c r="AQ70" s="308"/>
      <c r="AR70" s="308">
        <f t="shared" si="89"/>
        <v>0</v>
      </c>
      <c r="AS70" s="310"/>
      <c r="AT70" s="311">
        <f t="shared" si="90"/>
        <v>0</v>
      </c>
      <c r="AU70" s="306"/>
      <c r="AV70" s="312">
        <f t="shared" si="91"/>
        <v>0</v>
      </c>
      <c r="AW70" s="310"/>
      <c r="AX70" s="310">
        <f t="shared" si="92"/>
        <v>0</v>
      </c>
      <c r="AY70" s="308"/>
      <c r="AZ70" s="309">
        <f t="shared" si="93"/>
        <v>0</v>
      </c>
      <c r="BA70" s="306"/>
      <c r="BB70" s="312">
        <f t="shared" si="94"/>
        <v>0</v>
      </c>
      <c r="BC70" s="308"/>
      <c r="BD70" s="308">
        <f t="shared" si="95"/>
        <v>0</v>
      </c>
      <c r="BE70" s="310"/>
      <c r="BF70" s="311">
        <f t="shared" si="96"/>
        <v>0</v>
      </c>
      <c r="BG70" s="306"/>
      <c r="BH70" s="312">
        <f t="shared" si="97"/>
        <v>0</v>
      </c>
      <c r="BI70" s="308"/>
      <c r="BJ70" s="308">
        <f t="shared" si="98"/>
        <v>0</v>
      </c>
      <c r="BK70" s="310"/>
      <c r="BL70" s="311">
        <f t="shared" si="99"/>
        <v>0</v>
      </c>
    </row>
    <row r="71" spans="2:64" s="188" customFormat="1" ht="37" customHeight="1" x14ac:dyDescent="0.35">
      <c r="B71" s="300" t="str">
        <f>IF(ISBLANK($E71)," ",IF(AND(COUNTA(E$59:$E71)+64&gt;72,COUNTA(E$59:$E71)+64&lt;78),CHAR(COUNTA(E$59:$E71)+65),IF(COUNTA(E$59:$E71)+64&gt;77,CHAR(COUNTA(E$59:$E71)+66),CHAR(COUNTA(E$59:$E71)+64))))</f>
        <v>L</v>
      </c>
      <c r="C71" s="315" t="s">
        <v>158</v>
      </c>
      <c r="D71" s="302" t="s">
        <v>135</v>
      </c>
      <c r="E71" s="303">
        <v>1</v>
      </c>
      <c r="F71" s="304">
        <v>1804.5</v>
      </c>
      <c r="G71" s="305">
        <v>1804.5</v>
      </c>
      <c r="H71" s="306">
        <v>6150</v>
      </c>
      <c r="I71" s="307">
        <v>1</v>
      </c>
      <c r="J71" s="308">
        <f t="shared" si="74"/>
        <v>6150</v>
      </c>
      <c r="K71" s="308"/>
      <c r="L71" s="308">
        <f t="shared" si="75"/>
        <v>0</v>
      </c>
      <c r="M71" s="308"/>
      <c r="N71" s="309">
        <f t="shared" si="76"/>
        <v>0</v>
      </c>
      <c r="O71" s="310"/>
      <c r="P71" s="311">
        <f t="shared" si="77"/>
        <v>0</v>
      </c>
      <c r="Q71" s="310">
        <v>2250</v>
      </c>
      <c r="R71" s="311">
        <f t="shared" si="78"/>
        <v>2250</v>
      </c>
      <c r="S71" s="310"/>
      <c r="T71" s="311">
        <f t="shared" si="79"/>
        <v>0</v>
      </c>
      <c r="U71" s="306">
        <v>2275</v>
      </c>
      <c r="V71" s="307">
        <v>1</v>
      </c>
      <c r="W71" s="308">
        <f t="shared" si="100"/>
        <v>2275</v>
      </c>
      <c r="X71" s="307"/>
      <c r="Y71" s="308">
        <f t="shared" si="80"/>
        <v>0</v>
      </c>
      <c r="Z71" s="307"/>
      <c r="AA71" s="308">
        <f t="shared" si="81"/>
        <v>0</v>
      </c>
      <c r="AB71" s="307"/>
      <c r="AC71" s="308">
        <f t="shared" si="82"/>
        <v>0</v>
      </c>
      <c r="AD71" s="313"/>
      <c r="AE71" s="311">
        <f t="shared" si="83"/>
        <v>0</v>
      </c>
      <c r="AF71" s="306">
        <v>2023</v>
      </c>
      <c r="AG71" s="314">
        <v>1</v>
      </c>
      <c r="AH71" s="312">
        <f t="shared" si="84"/>
        <v>2023</v>
      </c>
      <c r="AI71" s="310"/>
      <c r="AJ71" s="311">
        <f t="shared" si="85"/>
        <v>0</v>
      </c>
      <c r="AK71" s="306"/>
      <c r="AL71" s="308">
        <f t="shared" si="86"/>
        <v>0</v>
      </c>
      <c r="AM71" s="307"/>
      <c r="AN71" s="308">
        <f t="shared" si="87"/>
        <v>0</v>
      </c>
      <c r="AO71" s="308"/>
      <c r="AP71" s="308">
        <f t="shared" si="88"/>
        <v>0</v>
      </c>
      <c r="AQ71" s="308"/>
      <c r="AR71" s="308">
        <f t="shared" si="89"/>
        <v>0</v>
      </c>
      <c r="AS71" s="310"/>
      <c r="AT71" s="311">
        <f t="shared" si="90"/>
        <v>0</v>
      </c>
      <c r="AU71" s="306"/>
      <c r="AV71" s="312">
        <f t="shared" si="91"/>
        <v>0</v>
      </c>
      <c r="AW71" s="310"/>
      <c r="AX71" s="310">
        <f t="shared" si="92"/>
        <v>0</v>
      </c>
      <c r="AY71" s="308"/>
      <c r="AZ71" s="309">
        <f t="shared" si="93"/>
        <v>0</v>
      </c>
      <c r="BA71" s="306"/>
      <c r="BB71" s="312">
        <f t="shared" si="94"/>
        <v>0</v>
      </c>
      <c r="BC71" s="308"/>
      <c r="BD71" s="308">
        <f t="shared" si="95"/>
        <v>0</v>
      </c>
      <c r="BE71" s="310"/>
      <c r="BF71" s="311">
        <f t="shared" si="96"/>
        <v>0</v>
      </c>
      <c r="BG71" s="306"/>
      <c r="BH71" s="312">
        <f t="shared" si="97"/>
        <v>0</v>
      </c>
      <c r="BI71" s="308"/>
      <c r="BJ71" s="308">
        <f t="shared" si="98"/>
        <v>0</v>
      </c>
      <c r="BK71" s="310"/>
      <c r="BL71" s="311">
        <f t="shared" si="99"/>
        <v>0</v>
      </c>
    </row>
    <row r="72" spans="2:64" s="188" customFormat="1" ht="37" customHeight="1" x14ac:dyDescent="0.35">
      <c r="B72" s="300" t="str">
        <f>IF(ISBLANK($E72)," ",IF(AND(COUNTA(E$59:$E72)+64&gt;72,COUNTA(E$59:$E72)+64&lt;78),CHAR(COUNTA(E$59:$E72)+65),IF(COUNTA(E$59:$E72)+64&gt;77,CHAR(COUNTA(E$59:$E72)+66),CHAR(COUNTA(E$59:$E72)+64))))</f>
        <v xml:space="preserve"> </v>
      </c>
      <c r="C72" s="301" t="s">
        <v>159</v>
      </c>
      <c r="D72" s="302"/>
      <c r="E72" s="303"/>
      <c r="F72" s="304"/>
      <c r="G72" s="305"/>
      <c r="H72" s="306"/>
      <c r="I72" s="307"/>
      <c r="J72" s="308"/>
      <c r="K72" s="308"/>
      <c r="L72" s="308"/>
      <c r="M72" s="308"/>
      <c r="N72" s="309"/>
      <c r="O72" s="310"/>
      <c r="P72" s="311"/>
      <c r="Q72" s="310"/>
      <c r="R72" s="311"/>
      <c r="S72" s="310"/>
      <c r="T72" s="311"/>
      <c r="U72" s="306"/>
      <c r="V72" s="307"/>
      <c r="W72" s="308"/>
      <c r="X72" s="307"/>
      <c r="Y72" s="308"/>
      <c r="Z72" s="307"/>
      <c r="AA72" s="308"/>
      <c r="AB72" s="307"/>
      <c r="AC72" s="308"/>
      <c r="AD72" s="313"/>
      <c r="AE72" s="311"/>
      <c r="AF72" s="306"/>
      <c r="AG72" s="314"/>
      <c r="AH72" s="312"/>
      <c r="AI72" s="310"/>
      <c r="AJ72" s="311"/>
      <c r="AK72" s="306"/>
      <c r="AL72" s="308"/>
      <c r="AM72" s="307"/>
      <c r="AN72" s="308"/>
      <c r="AO72" s="308"/>
      <c r="AP72" s="308"/>
      <c r="AQ72" s="308"/>
      <c r="AR72" s="308"/>
      <c r="AS72" s="310"/>
      <c r="AT72" s="311"/>
      <c r="AU72" s="306"/>
      <c r="AV72" s="312"/>
      <c r="AW72" s="310"/>
      <c r="AX72" s="310"/>
      <c r="AY72" s="308"/>
      <c r="AZ72" s="309"/>
      <c r="BA72" s="306"/>
      <c r="BB72" s="312"/>
      <c r="BC72" s="308"/>
      <c r="BD72" s="308"/>
      <c r="BE72" s="310"/>
      <c r="BF72" s="311"/>
      <c r="BG72" s="306"/>
      <c r="BH72" s="312"/>
      <c r="BI72" s="308"/>
      <c r="BJ72" s="308"/>
      <c r="BK72" s="310"/>
      <c r="BL72" s="311"/>
    </row>
    <row r="73" spans="2:64" s="188" customFormat="1" ht="37" customHeight="1" x14ac:dyDescent="0.35">
      <c r="B73" s="300" t="str">
        <f>IF(ISBLANK($E73)," ",IF(AND(COUNTA(E$59:$E73)+64&gt;72,COUNTA(E$59:$E73)+64&lt;78),CHAR(COUNTA(E$59:$E73)+65),IF(COUNTA(E$59:$E73)+64&gt;77,CHAR(COUNTA(E$59:$E73)+66),CHAR(COUNTA(E$59:$E73)+64))))</f>
        <v>M</v>
      </c>
      <c r="C73" s="315" t="s">
        <v>160</v>
      </c>
      <c r="D73" s="302" t="s">
        <v>135</v>
      </c>
      <c r="E73" s="303">
        <v>8</v>
      </c>
      <c r="F73" s="304">
        <v>6073.2</v>
      </c>
      <c r="G73" s="305">
        <v>48585.599999999999</v>
      </c>
      <c r="H73" s="306">
        <v>18384</v>
      </c>
      <c r="I73" s="307">
        <v>8</v>
      </c>
      <c r="J73" s="308">
        <f>H73*$I73</f>
        <v>147072</v>
      </c>
      <c r="K73" s="308"/>
      <c r="L73" s="308">
        <f>K73*$E73</f>
        <v>0</v>
      </c>
      <c r="M73" s="308"/>
      <c r="N73" s="309">
        <f>M73*$E73</f>
        <v>0</v>
      </c>
      <c r="O73" s="310"/>
      <c r="P73" s="311">
        <f>O73*$E73</f>
        <v>0</v>
      </c>
      <c r="Q73" s="310">
        <v>4300</v>
      </c>
      <c r="R73" s="311">
        <f>Q73*$E73</f>
        <v>34400</v>
      </c>
      <c r="S73" s="310"/>
      <c r="T73" s="311">
        <f>S73*$E73</f>
        <v>0</v>
      </c>
      <c r="U73" s="306">
        <v>7659</v>
      </c>
      <c r="V73" s="307">
        <v>8</v>
      </c>
      <c r="W73" s="308">
        <f>U73*$V73</f>
        <v>61272</v>
      </c>
      <c r="X73" s="307"/>
      <c r="Y73" s="308">
        <f>X73*$E73</f>
        <v>0</v>
      </c>
      <c r="Z73" s="307"/>
      <c r="AA73" s="308">
        <f>Z73*$E73</f>
        <v>0</v>
      </c>
      <c r="AB73" s="307"/>
      <c r="AC73" s="308">
        <f>AB73*$E73</f>
        <v>0</v>
      </c>
      <c r="AD73" s="313"/>
      <c r="AE73" s="311">
        <f>AD73*$E73</f>
        <v>0</v>
      </c>
      <c r="AF73" s="306">
        <v>8854</v>
      </c>
      <c r="AG73" s="314">
        <v>8</v>
      </c>
      <c r="AH73" s="312">
        <f>AF73*$AG73</f>
        <v>70832</v>
      </c>
      <c r="AI73" s="310"/>
      <c r="AJ73" s="311">
        <f>AI73*$E73</f>
        <v>0</v>
      </c>
      <c r="AK73" s="306"/>
      <c r="AL73" s="308">
        <f>AK73*$E73</f>
        <v>0</v>
      </c>
      <c r="AM73" s="307"/>
      <c r="AN73" s="308">
        <f>AM73*$E73</f>
        <v>0</v>
      </c>
      <c r="AO73" s="308"/>
      <c r="AP73" s="308">
        <f>AO73*$E73</f>
        <v>0</v>
      </c>
      <c r="AQ73" s="308"/>
      <c r="AR73" s="308">
        <f>AQ73*$E73</f>
        <v>0</v>
      </c>
      <c r="AS73" s="310"/>
      <c r="AT73" s="311">
        <f>AS73*$E73</f>
        <v>0</v>
      </c>
      <c r="AU73" s="306"/>
      <c r="AV73" s="312">
        <f>AU73*$E73</f>
        <v>0</v>
      </c>
      <c r="AW73" s="310"/>
      <c r="AX73" s="310">
        <f>AW73*$E73</f>
        <v>0</v>
      </c>
      <c r="AY73" s="308"/>
      <c r="AZ73" s="309">
        <f>AY73*$E73</f>
        <v>0</v>
      </c>
      <c r="BA73" s="306"/>
      <c r="BB73" s="312">
        <f>BA73*$E73</f>
        <v>0</v>
      </c>
      <c r="BC73" s="308"/>
      <c r="BD73" s="308">
        <f>BC73*$E73</f>
        <v>0</v>
      </c>
      <c r="BE73" s="310"/>
      <c r="BF73" s="311">
        <f>BE73*$E73</f>
        <v>0</v>
      </c>
      <c r="BG73" s="306"/>
      <c r="BH73" s="312">
        <f>BG73*$E73</f>
        <v>0</v>
      </c>
      <c r="BI73" s="308"/>
      <c r="BJ73" s="308">
        <f>BI73*$E73</f>
        <v>0</v>
      </c>
      <c r="BK73" s="310"/>
      <c r="BL73" s="311">
        <f>BK73*$E73</f>
        <v>0</v>
      </c>
    </row>
    <row r="74" spans="2:64" s="188" customFormat="1" ht="37" customHeight="1" x14ac:dyDescent="0.35">
      <c r="B74" s="300" t="str">
        <f>IF(ISBLANK($E74)," ",IF(AND(COUNTA(E$59:$E74)+64&gt;72,COUNTA(E$59:$E74)+64&lt;78),CHAR(COUNTA(E$59:$E74)+65),IF(COUNTA(E$59:$E74)+64&gt;77,CHAR(COUNTA(E$59:$E74)+66),CHAR(COUNTA(E$59:$E74)+64))))</f>
        <v xml:space="preserve"> </v>
      </c>
      <c r="C74" s="301" t="s">
        <v>161</v>
      </c>
      <c r="D74" s="302"/>
      <c r="E74" s="303"/>
      <c r="F74" s="304"/>
      <c r="G74" s="305"/>
      <c r="H74" s="306"/>
      <c r="I74" s="307"/>
      <c r="J74" s="308"/>
      <c r="K74" s="308"/>
      <c r="L74" s="308"/>
      <c r="M74" s="308"/>
      <c r="N74" s="309"/>
      <c r="O74" s="310"/>
      <c r="P74" s="311"/>
      <c r="Q74" s="310"/>
      <c r="R74" s="311"/>
      <c r="S74" s="310"/>
      <c r="T74" s="311"/>
      <c r="U74" s="306"/>
      <c r="V74" s="307"/>
      <c r="W74" s="308"/>
      <c r="X74" s="307"/>
      <c r="Y74" s="308"/>
      <c r="Z74" s="307"/>
      <c r="AA74" s="308"/>
      <c r="AB74" s="307"/>
      <c r="AC74" s="308"/>
      <c r="AD74" s="313"/>
      <c r="AE74" s="311"/>
      <c r="AF74" s="306"/>
      <c r="AG74" s="314"/>
      <c r="AH74" s="312"/>
      <c r="AI74" s="310"/>
      <c r="AJ74" s="311"/>
      <c r="AK74" s="306"/>
      <c r="AL74" s="308"/>
      <c r="AM74" s="307"/>
      <c r="AN74" s="308"/>
      <c r="AO74" s="308"/>
      <c r="AP74" s="308"/>
      <c r="AQ74" s="308"/>
      <c r="AR74" s="308"/>
      <c r="AS74" s="310"/>
      <c r="AT74" s="311"/>
      <c r="AU74" s="306"/>
      <c r="AV74" s="312"/>
      <c r="AW74" s="310"/>
      <c r="AX74" s="310"/>
      <c r="AY74" s="308"/>
      <c r="AZ74" s="309"/>
      <c r="BA74" s="306"/>
      <c r="BB74" s="312"/>
      <c r="BC74" s="308"/>
      <c r="BD74" s="308"/>
      <c r="BE74" s="310"/>
      <c r="BF74" s="311"/>
      <c r="BG74" s="306"/>
      <c r="BH74" s="312"/>
      <c r="BI74" s="308"/>
      <c r="BJ74" s="308"/>
      <c r="BK74" s="310"/>
      <c r="BL74" s="311"/>
    </row>
    <row r="75" spans="2:64" s="188" customFormat="1" ht="37" customHeight="1" x14ac:dyDescent="0.35">
      <c r="B75" s="300" t="str">
        <f>IF(ISBLANK($E75)," ",IF(AND(COUNTA(E$59:$E75)+64&gt;72,COUNTA(E$59:$E75)+64&lt;78),CHAR(COUNTA(E$59:$E75)+65),IF(COUNTA(E$59:$E75)+64&gt;77,CHAR(COUNTA(E$59:$E75)+66),CHAR(COUNTA(E$59:$E75)+64))))</f>
        <v>N</v>
      </c>
      <c r="C75" s="315" t="s">
        <v>162</v>
      </c>
      <c r="D75" s="302" t="s">
        <v>135</v>
      </c>
      <c r="E75" s="303">
        <v>12</v>
      </c>
      <c r="F75" s="304">
        <v>179.1</v>
      </c>
      <c r="G75" s="305">
        <v>2149.1999999999998</v>
      </c>
      <c r="H75" s="306">
        <v>386</v>
      </c>
      <c r="I75" s="307">
        <v>12</v>
      </c>
      <c r="J75" s="308">
        <f t="shared" ref="J75:J83" si="101">H75*$I75</f>
        <v>4632</v>
      </c>
      <c r="K75" s="308"/>
      <c r="L75" s="308">
        <f t="shared" ref="L75:L83" si="102">K75*$E75</f>
        <v>0</v>
      </c>
      <c r="M75" s="308"/>
      <c r="N75" s="309">
        <f t="shared" ref="N75:N83" si="103">M75*$E75</f>
        <v>0</v>
      </c>
      <c r="O75" s="310"/>
      <c r="P75" s="311">
        <f t="shared" ref="P75:P83" si="104">O75*$E75</f>
        <v>0</v>
      </c>
      <c r="Q75" s="310">
        <v>950</v>
      </c>
      <c r="R75" s="311">
        <f t="shared" ref="R75:R83" si="105">Q75*$E75</f>
        <v>11400</v>
      </c>
      <c r="S75" s="310"/>
      <c r="T75" s="311">
        <f t="shared" ref="T75:T83" si="106">S75*$E75</f>
        <v>0</v>
      </c>
      <c r="U75" s="306">
        <v>225</v>
      </c>
      <c r="V75" s="307">
        <v>12</v>
      </c>
      <c r="W75" s="308">
        <f t="shared" ref="W75:W83" si="107">U75*$V75</f>
        <v>2700</v>
      </c>
      <c r="X75" s="307"/>
      <c r="Y75" s="308">
        <f t="shared" ref="Y75:Y83" si="108">X75*$E75</f>
        <v>0</v>
      </c>
      <c r="Z75" s="307"/>
      <c r="AA75" s="308">
        <f t="shared" ref="AA75:AA83" si="109">Z75*$E75</f>
        <v>0</v>
      </c>
      <c r="AB75" s="307"/>
      <c r="AC75" s="308">
        <f t="shared" ref="AC75:AC83" si="110">AB75*$E75</f>
        <v>0</v>
      </c>
      <c r="AD75" s="313"/>
      <c r="AE75" s="311">
        <f t="shared" ref="AE75:AE83" si="111">AD75*$E75</f>
        <v>0</v>
      </c>
      <c r="AF75" s="306">
        <v>527</v>
      </c>
      <c r="AG75" s="314">
        <v>12</v>
      </c>
      <c r="AH75" s="312">
        <f t="shared" ref="AH75:AH83" si="112">AF75*$AG75</f>
        <v>6324</v>
      </c>
      <c r="AI75" s="310"/>
      <c r="AJ75" s="311">
        <f t="shared" ref="AJ75:AJ83" si="113">AI75*$E75</f>
        <v>0</v>
      </c>
      <c r="AK75" s="306"/>
      <c r="AL75" s="308">
        <f t="shared" ref="AL75:AL83" si="114">AK75*$E75</f>
        <v>0</v>
      </c>
      <c r="AM75" s="307"/>
      <c r="AN75" s="308">
        <f t="shared" ref="AN75:AN83" si="115">AM75*$E75</f>
        <v>0</v>
      </c>
      <c r="AO75" s="308"/>
      <c r="AP75" s="308">
        <f t="shared" ref="AP75:AP83" si="116">AO75*$E75</f>
        <v>0</v>
      </c>
      <c r="AQ75" s="308"/>
      <c r="AR75" s="308">
        <f t="shared" ref="AR75:AR83" si="117">AQ75*$E75</f>
        <v>0</v>
      </c>
      <c r="AS75" s="310"/>
      <c r="AT75" s="311">
        <f t="shared" ref="AT75:AT83" si="118">AS75*$E75</f>
        <v>0</v>
      </c>
      <c r="AU75" s="306"/>
      <c r="AV75" s="312">
        <f t="shared" ref="AV75:AV83" si="119">AU75*$E75</f>
        <v>0</v>
      </c>
      <c r="AW75" s="310"/>
      <c r="AX75" s="310">
        <f t="shared" ref="AX75:AX83" si="120">AW75*$E75</f>
        <v>0</v>
      </c>
      <c r="AY75" s="308"/>
      <c r="AZ75" s="309">
        <f t="shared" ref="AZ75:AZ83" si="121">AY75*$E75</f>
        <v>0</v>
      </c>
      <c r="BA75" s="306"/>
      <c r="BB75" s="312">
        <f t="shared" ref="BB75:BB83" si="122">BA75*$E75</f>
        <v>0</v>
      </c>
      <c r="BC75" s="308"/>
      <c r="BD75" s="308">
        <f t="shared" ref="BD75:BD83" si="123">BC75*$E75</f>
        <v>0</v>
      </c>
      <c r="BE75" s="310"/>
      <c r="BF75" s="311">
        <f t="shared" ref="BF75:BF83" si="124">BE75*$E75</f>
        <v>0</v>
      </c>
      <c r="BG75" s="306"/>
      <c r="BH75" s="312">
        <f t="shared" ref="BH75:BH83" si="125">BG75*$E75</f>
        <v>0</v>
      </c>
      <c r="BI75" s="308"/>
      <c r="BJ75" s="308">
        <f t="shared" ref="BJ75:BJ83" si="126">BI75*$E75</f>
        <v>0</v>
      </c>
      <c r="BK75" s="310"/>
      <c r="BL75" s="311">
        <f t="shared" ref="BL75:BL83" si="127">BK75*$E75</f>
        <v>0</v>
      </c>
    </row>
    <row r="76" spans="2:64" s="188" customFormat="1" ht="37" customHeight="1" x14ac:dyDescent="0.35">
      <c r="B76" s="300" t="str">
        <f>IF(ISBLANK($E76)," ",IF(AND(COUNTA(E$59:$E76)+64&gt;72,COUNTA(E$59:$E76)+64&lt;78),CHAR(COUNTA(E$59:$E76)+65),IF(COUNTA(E$59:$E76)+64&gt;77,CHAR(COUNTA(E$59:$E76)+66),CHAR(COUNTA(E$59:$E76)+64))))</f>
        <v>P</v>
      </c>
      <c r="C76" s="315" t="s">
        <v>163</v>
      </c>
      <c r="D76" s="302" t="s">
        <v>135</v>
      </c>
      <c r="E76" s="303">
        <v>7</v>
      </c>
      <c r="F76" s="304">
        <v>260.10000000000002</v>
      </c>
      <c r="G76" s="305">
        <v>1820.7000000000003</v>
      </c>
      <c r="H76" s="306">
        <v>500</v>
      </c>
      <c r="I76" s="307">
        <v>7</v>
      </c>
      <c r="J76" s="308">
        <f t="shared" si="101"/>
        <v>3500</v>
      </c>
      <c r="K76" s="308"/>
      <c r="L76" s="308">
        <f t="shared" si="102"/>
        <v>0</v>
      </c>
      <c r="M76" s="308"/>
      <c r="N76" s="309">
        <f t="shared" si="103"/>
        <v>0</v>
      </c>
      <c r="O76" s="310"/>
      <c r="P76" s="311">
        <f t="shared" si="104"/>
        <v>0</v>
      </c>
      <c r="Q76" s="310">
        <v>1150</v>
      </c>
      <c r="R76" s="311">
        <f t="shared" si="105"/>
        <v>8050</v>
      </c>
      <c r="S76" s="310"/>
      <c r="T76" s="311">
        <f t="shared" si="106"/>
        <v>0</v>
      </c>
      <c r="U76" s="306">
        <v>327</v>
      </c>
      <c r="V76" s="307">
        <v>7</v>
      </c>
      <c r="W76" s="308">
        <f t="shared" si="107"/>
        <v>2289</v>
      </c>
      <c r="X76" s="307"/>
      <c r="Y76" s="308">
        <f t="shared" si="108"/>
        <v>0</v>
      </c>
      <c r="Z76" s="307"/>
      <c r="AA76" s="308">
        <f t="shared" si="109"/>
        <v>0</v>
      </c>
      <c r="AB76" s="307"/>
      <c r="AC76" s="308">
        <f t="shared" si="110"/>
        <v>0</v>
      </c>
      <c r="AD76" s="313"/>
      <c r="AE76" s="311">
        <f t="shared" si="111"/>
        <v>0</v>
      </c>
      <c r="AF76" s="306">
        <v>527</v>
      </c>
      <c r="AG76" s="314">
        <v>7</v>
      </c>
      <c r="AH76" s="312">
        <f t="shared" si="112"/>
        <v>3689</v>
      </c>
      <c r="AI76" s="310"/>
      <c r="AJ76" s="311">
        <f t="shared" si="113"/>
        <v>0</v>
      </c>
      <c r="AK76" s="306"/>
      <c r="AL76" s="308">
        <f t="shared" si="114"/>
        <v>0</v>
      </c>
      <c r="AM76" s="307"/>
      <c r="AN76" s="308">
        <f t="shared" si="115"/>
        <v>0</v>
      </c>
      <c r="AO76" s="308"/>
      <c r="AP76" s="308">
        <f t="shared" si="116"/>
        <v>0</v>
      </c>
      <c r="AQ76" s="308"/>
      <c r="AR76" s="308">
        <f t="shared" si="117"/>
        <v>0</v>
      </c>
      <c r="AS76" s="310"/>
      <c r="AT76" s="311">
        <f t="shared" si="118"/>
        <v>0</v>
      </c>
      <c r="AU76" s="306"/>
      <c r="AV76" s="312">
        <f t="shared" si="119"/>
        <v>0</v>
      </c>
      <c r="AW76" s="310"/>
      <c r="AX76" s="310">
        <f t="shared" si="120"/>
        <v>0</v>
      </c>
      <c r="AY76" s="308"/>
      <c r="AZ76" s="309">
        <f t="shared" si="121"/>
        <v>0</v>
      </c>
      <c r="BA76" s="306"/>
      <c r="BB76" s="312">
        <f t="shared" si="122"/>
        <v>0</v>
      </c>
      <c r="BC76" s="308"/>
      <c r="BD76" s="308">
        <f t="shared" si="123"/>
        <v>0</v>
      </c>
      <c r="BE76" s="310"/>
      <c r="BF76" s="311">
        <f t="shared" si="124"/>
        <v>0</v>
      </c>
      <c r="BG76" s="306"/>
      <c r="BH76" s="312">
        <f t="shared" si="125"/>
        <v>0</v>
      </c>
      <c r="BI76" s="308"/>
      <c r="BJ76" s="308">
        <f t="shared" si="126"/>
        <v>0</v>
      </c>
      <c r="BK76" s="310"/>
      <c r="BL76" s="311">
        <f t="shared" si="127"/>
        <v>0</v>
      </c>
    </row>
    <row r="77" spans="2:64" s="188" customFormat="1" ht="37" customHeight="1" x14ac:dyDescent="0.35">
      <c r="B77" s="300" t="str">
        <f>IF(ISBLANK($E77)," ",IF(AND(COUNTA(E$59:$E77)+64&gt;72,COUNTA(E$59:$E77)+64&lt;78),CHAR(COUNTA(E$59:$E77)+65),IF(COUNTA(E$59:$E77)+64&gt;77,CHAR(COUNTA(E$59:$E77)+66),CHAR(COUNTA(E$59:$E77)+64))))</f>
        <v>Q</v>
      </c>
      <c r="C77" s="315" t="s">
        <v>164</v>
      </c>
      <c r="D77" s="302" t="s">
        <v>135</v>
      </c>
      <c r="E77" s="303">
        <v>9</v>
      </c>
      <c r="F77" s="304">
        <v>90</v>
      </c>
      <c r="G77" s="305">
        <v>810</v>
      </c>
      <c r="H77" s="306">
        <v>116</v>
      </c>
      <c r="I77" s="307">
        <v>9</v>
      </c>
      <c r="J77" s="308">
        <f t="shared" si="101"/>
        <v>1044</v>
      </c>
      <c r="K77" s="308"/>
      <c r="L77" s="308">
        <f t="shared" si="102"/>
        <v>0</v>
      </c>
      <c r="M77" s="308"/>
      <c r="N77" s="309">
        <f t="shared" si="103"/>
        <v>0</v>
      </c>
      <c r="O77" s="310"/>
      <c r="P77" s="311">
        <f t="shared" si="104"/>
        <v>0</v>
      </c>
      <c r="Q77" s="310">
        <v>140</v>
      </c>
      <c r="R77" s="311">
        <f t="shared" si="105"/>
        <v>1260</v>
      </c>
      <c r="S77" s="310"/>
      <c r="T77" s="311">
        <f t="shared" si="106"/>
        <v>0</v>
      </c>
      <c r="U77" s="306">
        <v>113</v>
      </c>
      <c r="V77" s="307">
        <v>9</v>
      </c>
      <c r="W77" s="308">
        <f t="shared" si="107"/>
        <v>1017</v>
      </c>
      <c r="X77" s="307"/>
      <c r="Y77" s="308">
        <f t="shared" si="108"/>
        <v>0</v>
      </c>
      <c r="Z77" s="307"/>
      <c r="AA77" s="308">
        <f t="shared" si="109"/>
        <v>0</v>
      </c>
      <c r="AB77" s="307"/>
      <c r="AC77" s="308">
        <f t="shared" si="110"/>
        <v>0</v>
      </c>
      <c r="AD77" s="313"/>
      <c r="AE77" s="311">
        <f t="shared" si="111"/>
        <v>0</v>
      </c>
      <c r="AF77" s="306">
        <v>425</v>
      </c>
      <c r="AG77" s="314">
        <v>9</v>
      </c>
      <c r="AH77" s="312">
        <f t="shared" si="112"/>
        <v>3825</v>
      </c>
      <c r="AI77" s="310"/>
      <c r="AJ77" s="311">
        <f t="shared" si="113"/>
        <v>0</v>
      </c>
      <c r="AK77" s="306"/>
      <c r="AL77" s="308">
        <f t="shared" si="114"/>
        <v>0</v>
      </c>
      <c r="AM77" s="307"/>
      <c r="AN77" s="308">
        <f t="shared" si="115"/>
        <v>0</v>
      </c>
      <c r="AO77" s="308"/>
      <c r="AP77" s="308">
        <f t="shared" si="116"/>
        <v>0</v>
      </c>
      <c r="AQ77" s="308"/>
      <c r="AR77" s="308">
        <f t="shared" si="117"/>
        <v>0</v>
      </c>
      <c r="AS77" s="310"/>
      <c r="AT77" s="311">
        <f t="shared" si="118"/>
        <v>0</v>
      </c>
      <c r="AU77" s="306"/>
      <c r="AV77" s="312">
        <f t="shared" si="119"/>
        <v>0</v>
      </c>
      <c r="AW77" s="310"/>
      <c r="AX77" s="310">
        <f t="shared" si="120"/>
        <v>0</v>
      </c>
      <c r="AY77" s="308"/>
      <c r="AZ77" s="309">
        <f t="shared" si="121"/>
        <v>0</v>
      </c>
      <c r="BA77" s="306"/>
      <c r="BB77" s="312">
        <f t="shared" si="122"/>
        <v>0</v>
      </c>
      <c r="BC77" s="308"/>
      <c r="BD77" s="308">
        <f t="shared" si="123"/>
        <v>0</v>
      </c>
      <c r="BE77" s="310"/>
      <c r="BF77" s="311">
        <f t="shared" si="124"/>
        <v>0</v>
      </c>
      <c r="BG77" s="306"/>
      <c r="BH77" s="312">
        <f t="shared" si="125"/>
        <v>0</v>
      </c>
      <c r="BI77" s="308"/>
      <c r="BJ77" s="308">
        <f t="shared" si="126"/>
        <v>0</v>
      </c>
      <c r="BK77" s="310"/>
      <c r="BL77" s="311">
        <f t="shared" si="127"/>
        <v>0</v>
      </c>
    </row>
    <row r="78" spans="2:64" s="188" customFormat="1" ht="37" customHeight="1" x14ac:dyDescent="0.35">
      <c r="B78" s="300" t="str">
        <f>IF(ISBLANK($E78)," ",IF(AND(COUNTA(E$59:$E78)+64&gt;72,COUNTA(E$59:$E78)+64&lt;78),CHAR(COUNTA(E$59:$E78)+65),IF(COUNTA(E$59:$E78)+64&gt;77,CHAR(COUNTA(E$59:$E78)+66),CHAR(COUNTA(E$59:$E78)+64))))</f>
        <v>R</v>
      </c>
      <c r="C78" s="315" t="s">
        <v>165</v>
      </c>
      <c r="D78" s="302" t="s">
        <v>135</v>
      </c>
      <c r="E78" s="303">
        <v>6</v>
      </c>
      <c r="F78" s="304">
        <v>6692.4000000000005</v>
      </c>
      <c r="G78" s="305">
        <v>40154.400000000001</v>
      </c>
      <c r="H78" s="306">
        <v>529</v>
      </c>
      <c r="I78" s="307">
        <v>6</v>
      </c>
      <c r="J78" s="308">
        <f t="shared" si="101"/>
        <v>3174</v>
      </c>
      <c r="K78" s="308"/>
      <c r="L78" s="308">
        <f t="shared" si="102"/>
        <v>0</v>
      </c>
      <c r="M78" s="308"/>
      <c r="N78" s="309">
        <f t="shared" si="103"/>
        <v>0</v>
      </c>
      <c r="O78" s="310"/>
      <c r="P78" s="311">
        <f t="shared" si="104"/>
        <v>0</v>
      </c>
      <c r="Q78" s="310">
        <v>240</v>
      </c>
      <c r="R78" s="311">
        <f t="shared" si="105"/>
        <v>1440</v>
      </c>
      <c r="S78" s="310"/>
      <c r="T78" s="311">
        <f t="shared" si="106"/>
        <v>0</v>
      </c>
      <c r="U78" s="306">
        <v>8441</v>
      </c>
      <c r="V78" s="307">
        <v>6</v>
      </c>
      <c r="W78" s="308">
        <f t="shared" si="107"/>
        <v>50646</v>
      </c>
      <c r="X78" s="307"/>
      <c r="Y78" s="308">
        <f t="shared" si="108"/>
        <v>0</v>
      </c>
      <c r="Z78" s="307"/>
      <c r="AA78" s="308">
        <f t="shared" si="109"/>
        <v>0</v>
      </c>
      <c r="AB78" s="307"/>
      <c r="AC78" s="308">
        <f t="shared" si="110"/>
        <v>0</v>
      </c>
      <c r="AD78" s="313"/>
      <c r="AE78" s="311">
        <f t="shared" si="111"/>
        <v>0</v>
      </c>
      <c r="AF78" s="322"/>
      <c r="AG78" s="323">
        <v>6</v>
      </c>
      <c r="AH78" s="324">
        <f t="shared" si="112"/>
        <v>0</v>
      </c>
      <c r="AI78" s="310"/>
      <c r="AJ78" s="311">
        <f t="shared" si="113"/>
        <v>0</v>
      </c>
      <c r="AK78" s="306"/>
      <c r="AL78" s="308">
        <f t="shared" si="114"/>
        <v>0</v>
      </c>
      <c r="AM78" s="307"/>
      <c r="AN78" s="308">
        <f t="shared" si="115"/>
        <v>0</v>
      </c>
      <c r="AO78" s="308"/>
      <c r="AP78" s="308">
        <f t="shared" si="116"/>
        <v>0</v>
      </c>
      <c r="AQ78" s="308"/>
      <c r="AR78" s="308">
        <f t="shared" si="117"/>
        <v>0</v>
      </c>
      <c r="AS78" s="310"/>
      <c r="AT78" s="311">
        <f t="shared" si="118"/>
        <v>0</v>
      </c>
      <c r="AU78" s="306"/>
      <c r="AV78" s="312">
        <f t="shared" si="119"/>
        <v>0</v>
      </c>
      <c r="AW78" s="310"/>
      <c r="AX78" s="310">
        <f t="shared" si="120"/>
        <v>0</v>
      </c>
      <c r="AY78" s="308"/>
      <c r="AZ78" s="309">
        <f t="shared" si="121"/>
        <v>0</v>
      </c>
      <c r="BA78" s="306"/>
      <c r="BB78" s="312">
        <f t="shared" si="122"/>
        <v>0</v>
      </c>
      <c r="BC78" s="308"/>
      <c r="BD78" s="308">
        <f t="shared" si="123"/>
        <v>0</v>
      </c>
      <c r="BE78" s="310"/>
      <c r="BF78" s="311">
        <f t="shared" si="124"/>
        <v>0</v>
      </c>
      <c r="BG78" s="306"/>
      <c r="BH78" s="312">
        <f t="shared" si="125"/>
        <v>0</v>
      </c>
      <c r="BI78" s="308"/>
      <c r="BJ78" s="308">
        <f t="shared" si="126"/>
        <v>0</v>
      </c>
      <c r="BK78" s="310"/>
      <c r="BL78" s="311">
        <f t="shared" si="127"/>
        <v>0</v>
      </c>
    </row>
    <row r="79" spans="2:64" s="188" customFormat="1" ht="37" customHeight="1" x14ac:dyDescent="0.35">
      <c r="B79" s="300" t="str">
        <f>IF(ISBLANK($E79)," ",IF(AND(COUNTA(E$59:$E79)+64&gt;72,COUNTA(E$59:$E79)+64&lt;78),CHAR(COUNTA(E$59:$E79)+65),IF(COUNTA(E$59:$E79)+64&gt;77,CHAR(COUNTA(E$59:$E79)+66),CHAR(COUNTA(E$59:$E79)+64))))</f>
        <v>S</v>
      </c>
      <c r="C79" s="315" t="s">
        <v>166</v>
      </c>
      <c r="D79" s="302" t="s">
        <v>135</v>
      </c>
      <c r="E79" s="303">
        <v>8</v>
      </c>
      <c r="F79" s="304">
        <v>68.400000000000006</v>
      </c>
      <c r="G79" s="305">
        <v>684</v>
      </c>
      <c r="H79" s="306">
        <v>593</v>
      </c>
      <c r="I79" s="307">
        <v>8</v>
      </c>
      <c r="J79" s="308">
        <f t="shared" si="101"/>
        <v>4744</v>
      </c>
      <c r="K79" s="308"/>
      <c r="L79" s="308">
        <f t="shared" si="102"/>
        <v>0</v>
      </c>
      <c r="M79" s="308"/>
      <c r="N79" s="309">
        <f t="shared" si="103"/>
        <v>0</v>
      </c>
      <c r="O79" s="310"/>
      <c r="P79" s="311">
        <f t="shared" si="104"/>
        <v>0</v>
      </c>
      <c r="Q79" s="310">
        <v>120</v>
      </c>
      <c r="R79" s="311">
        <f t="shared" si="105"/>
        <v>960</v>
      </c>
      <c r="S79" s="310"/>
      <c r="T79" s="311">
        <f t="shared" si="106"/>
        <v>0</v>
      </c>
      <c r="U79" s="306">
        <v>86</v>
      </c>
      <c r="V79" s="307">
        <v>10</v>
      </c>
      <c r="W79" s="308">
        <f t="shared" si="107"/>
        <v>860</v>
      </c>
      <c r="X79" s="307"/>
      <c r="Y79" s="308">
        <f t="shared" si="108"/>
        <v>0</v>
      </c>
      <c r="Z79" s="307"/>
      <c r="AA79" s="308">
        <f t="shared" si="109"/>
        <v>0</v>
      </c>
      <c r="AB79" s="307"/>
      <c r="AC79" s="308">
        <f t="shared" si="110"/>
        <v>0</v>
      </c>
      <c r="AD79" s="313"/>
      <c r="AE79" s="311">
        <f t="shared" si="111"/>
        <v>0</v>
      </c>
      <c r="AF79" s="306">
        <v>1187</v>
      </c>
      <c r="AG79" s="314">
        <v>8</v>
      </c>
      <c r="AH79" s="312">
        <f t="shared" si="112"/>
        <v>9496</v>
      </c>
      <c r="AI79" s="310"/>
      <c r="AJ79" s="311">
        <f t="shared" si="113"/>
        <v>0</v>
      </c>
      <c r="AK79" s="306"/>
      <c r="AL79" s="308">
        <f t="shared" si="114"/>
        <v>0</v>
      </c>
      <c r="AM79" s="307"/>
      <c r="AN79" s="308">
        <f t="shared" si="115"/>
        <v>0</v>
      </c>
      <c r="AO79" s="308"/>
      <c r="AP79" s="308">
        <f t="shared" si="116"/>
        <v>0</v>
      </c>
      <c r="AQ79" s="308"/>
      <c r="AR79" s="308">
        <f t="shared" si="117"/>
        <v>0</v>
      </c>
      <c r="AS79" s="310"/>
      <c r="AT79" s="311">
        <f t="shared" si="118"/>
        <v>0</v>
      </c>
      <c r="AU79" s="306"/>
      <c r="AV79" s="312">
        <f t="shared" si="119"/>
        <v>0</v>
      </c>
      <c r="AW79" s="310"/>
      <c r="AX79" s="310">
        <f t="shared" si="120"/>
        <v>0</v>
      </c>
      <c r="AY79" s="308"/>
      <c r="AZ79" s="309">
        <f t="shared" si="121"/>
        <v>0</v>
      </c>
      <c r="BA79" s="306"/>
      <c r="BB79" s="312">
        <f t="shared" si="122"/>
        <v>0</v>
      </c>
      <c r="BC79" s="308"/>
      <c r="BD79" s="308">
        <f t="shared" si="123"/>
        <v>0</v>
      </c>
      <c r="BE79" s="310"/>
      <c r="BF79" s="311">
        <f t="shared" si="124"/>
        <v>0</v>
      </c>
      <c r="BG79" s="306"/>
      <c r="BH79" s="312">
        <f t="shared" si="125"/>
        <v>0</v>
      </c>
      <c r="BI79" s="308"/>
      <c r="BJ79" s="308">
        <f t="shared" si="126"/>
        <v>0</v>
      </c>
      <c r="BK79" s="310"/>
      <c r="BL79" s="311">
        <f t="shared" si="127"/>
        <v>0</v>
      </c>
    </row>
    <row r="80" spans="2:64" s="188" customFormat="1" ht="37" customHeight="1" x14ac:dyDescent="0.35">
      <c r="B80" s="300" t="str">
        <f>IF(ISBLANK($E80)," ",IF(AND(COUNTA(E$59:$E80)+64&gt;72,COUNTA(E$59:$E80)+64&lt;78),CHAR(COUNTA(E$59:$E80)+65),IF(COUNTA(E$59:$E80)+64&gt;77,CHAR(COUNTA(E$59:$E80)+66),CHAR(COUNTA(E$59:$E80)+64))))</f>
        <v>T</v>
      </c>
      <c r="C80" s="315" t="s">
        <v>167</v>
      </c>
      <c r="D80" s="302" t="s">
        <v>135</v>
      </c>
      <c r="E80" s="303">
        <v>9</v>
      </c>
      <c r="F80" s="304">
        <v>1397.7</v>
      </c>
      <c r="G80" s="305">
        <v>12579.300000000001</v>
      </c>
      <c r="H80" s="306">
        <v>1865</v>
      </c>
      <c r="I80" s="307">
        <v>9</v>
      </c>
      <c r="J80" s="308">
        <f t="shared" si="101"/>
        <v>16785</v>
      </c>
      <c r="K80" s="308"/>
      <c r="L80" s="308">
        <f t="shared" si="102"/>
        <v>0</v>
      </c>
      <c r="M80" s="308"/>
      <c r="N80" s="309">
        <f t="shared" si="103"/>
        <v>0</v>
      </c>
      <c r="O80" s="310"/>
      <c r="P80" s="311">
        <f t="shared" si="104"/>
        <v>0</v>
      </c>
      <c r="Q80" s="310">
        <v>480</v>
      </c>
      <c r="R80" s="311">
        <f t="shared" si="105"/>
        <v>4320</v>
      </c>
      <c r="S80" s="310"/>
      <c r="T80" s="311">
        <f t="shared" si="106"/>
        <v>0</v>
      </c>
      <c r="U80" s="306">
        <v>1762</v>
      </c>
      <c r="V80" s="307">
        <v>9</v>
      </c>
      <c r="W80" s="308">
        <f t="shared" si="107"/>
        <v>15858</v>
      </c>
      <c r="X80" s="307"/>
      <c r="Y80" s="308">
        <f t="shared" si="108"/>
        <v>0</v>
      </c>
      <c r="Z80" s="307"/>
      <c r="AA80" s="308">
        <f t="shared" si="109"/>
        <v>0</v>
      </c>
      <c r="AB80" s="307"/>
      <c r="AC80" s="308">
        <f t="shared" si="110"/>
        <v>0</v>
      </c>
      <c r="AD80" s="313"/>
      <c r="AE80" s="311">
        <f t="shared" si="111"/>
        <v>0</v>
      </c>
      <c r="AF80" s="306">
        <v>3241</v>
      </c>
      <c r="AG80" s="314">
        <v>9</v>
      </c>
      <c r="AH80" s="312">
        <f t="shared" si="112"/>
        <v>29169</v>
      </c>
      <c r="AI80" s="310"/>
      <c r="AJ80" s="311">
        <f t="shared" si="113"/>
        <v>0</v>
      </c>
      <c r="AK80" s="306"/>
      <c r="AL80" s="308">
        <f t="shared" si="114"/>
        <v>0</v>
      </c>
      <c r="AM80" s="307"/>
      <c r="AN80" s="308">
        <f t="shared" si="115"/>
        <v>0</v>
      </c>
      <c r="AO80" s="308"/>
      <c r="AP80" s="308">
        <f t="shared" si="116"/>
        <v>0</v>
      </c>
      <c r="AQ80" s="308"/>
      <c r="AR80" s="308">
        <f t="shared" si="117"/>
        <v>0</v>
      </c>
      <c r="AS80" s="310"/>
      <c r="AT80" s="311">
        <f t="shared" si="118"/>
        <v>0</v>
      </c>
      <c r="AU80" s="306"/>
      <c r="AV80" s="312">
        <f t="shared" si="119"/>
        <v>0</v>
      </c>
      <c r="AW80" s="310"/>
      <c r="AX80" s="310">
        <f t="shared" si="120"/>
        <v>0</v>
      </c>
      <c r="AY80" s="308"/>
      <c r="AZ80" s="309">
        <f t="shared" si="121"/>
        <v>0</v>
      </c>
      <c r="BA80" s="306"/>
      <c r="BB80" s="312">
        <f t="shared" si="122"/>
        <v>0</v>
      </c>
      <c r="BC80" s="308"/>
      <c r="BD80" s="308">
        <f t="shared" si="123"/>
        <v>0</v>
      </c>
      <c r="BE80" s="310"/>
      <c r="BF80" s="311">
        <f t="shared" si="124"/>
        <v>0</v>
      </c>
      <c r="BG80" s="306"/>
      <c r="BH80" s="312">
        <f t="shared" si="125"/>
        <v>0</v>
      </c>
      <c r="BI80" s="308"/>
      <c r="BJ80" s="308">
        <f t="shared" si="126"/>
        <v>0</v>
      </c>
      <c r="BK80" s="310"/>
      <c r="BL80" s="311">
        <f t="shared" si="127"/>
        <v>0</v>
      </c>
    </row>
    <row r="81" spans="2:64" s="188" customFormat="1" ht="37" customHeight="1" x14ac:dyDescent="0.35">
      <c r="B81" s="300" t="str">
        <f>IF(ISBLANK($E81)," ",IF(AND(COUNTA(E$59:$E81)+64&gt;72,COUNTA(E$59:$E81)+64&lt;78),CHAR(COUNTA(E$59:$E81)+65),IF(COUNTA(E$59:$E81)+64&gt;77,CHAR(COUNTA(E$59:$E81)+66),CHAR(COUNTA(E$59:$E81)+64))))</f>
        <v>U</v>
      </c>
      <c r="C81" s="315" t="s">
        <v>168</v>
      </c>
      <c r="D81" s="302" t="s">
        <v>135</v>
      </c>
      <c r="E81" s="303">
        <v>78</v>
      </c>
      <c r="F81" s="304">
        <v>137.70000000000002</v>
      </c>
      <c r="G81" s="305">
        <v>10740.600000000002</v>
      </c>
      <c r="H81" s="306">
        <v>129</v>
      </c>
      <c r="I81" s="307">
        <v>78</v>
      </c>
      <c r="J81" s="308">
        <f t="shared" si="101"/>
        <v>10062</v>
      </c>
      <c r="K81" s="308"/>
      <c r="L81" s="308">
        <f t="shared" si="102"/>
        <v>0</v>
      </c>
      <c r="M81" s="308"/>
      <c r="N81" s="309">
        <f t="shared" si="103"/>
        <v>0</v>
      </c>
      <c r="O81" s="310"/>
      <c r="P81" s="311">
        <f t="shared" si="104"/>
        <v>0</v>
      </c>
      <c r="Q81" s="310">
        <v>64</v>
      </c>
      <c r="R81" s="311">
        <f t="shared" si="105"/>
        <v>4992</v>
      </c>
      <c r="S81" s="310"/>
      <c r="T81" s="311">
        <f t="shared" si="106"/>
        <v>0</v>
      </c>
      <c r="U81" s="306">
        <v>173</v>
      </c>
      <c r="V81" s="307">
        <v>78</v>
      </c>
      <c r="W81" s="308">
        <f t="shared" si="107"/>
        <v>13494</v>
      </c>
      <c r="X81" s="307"/>
      <c r="Y81" s="308">
        <f t="shared" si="108"/>
        <v>0</v>
      </c>
      <c r="Z81" s="307"/>
      <c r="AA81" s="308">
        <f t="shared" si="109"/>
        <v>0</v>
      </c>
      <c r="AB81" s="307"/>
      <c r="AC81" s="308">
        <f t="shared" si="110"/>
        <v>0</v>
      </c>
      <c r="AD81" s="313"/>
      <c r="AE81" s="311">
        <f t="shared" si="111"/>
        <v>0</v>
      </c>
      <c r="AF81" s="306">
        <v>351</v>
      </c>
      <c r="AG81" s="314">
        <v>78</v>
      </c>
      <c r="AH81" s="312">
        <f t="shared" si="112"/>
        <v>27378</v>
      </c>
      <c r="AI81" s="310"/>
      <c r="AJ81" s="311">
        <f t="shared" si="113"/>
        <v>0</v>
      </c>
      <c r="AK81" s="306"/>
      <c r="AL81" s="308">
        <f t="shared" si="114"/>
        <v>0</v>
      </c>
      <c r="AM81" s="307"/>
      <c r="AN81" s="308">
        <f t="shared" si="115"/>
        <v>0</v>
      </c>
      <c r="AO81" s="308"/>
      <c r="AP81" s="308">
        <f t="shared" si="116"/>
        <v>0</v>
      </c>
      <c r="AQ81" s="308"/>
      <c r="AR81" s="308">
        <f t="shared" si="117"/>
        <v>0</v>
      </c>
      <c r="AS81" s="310"/>
      <c r="AT81" s="311">
        <f t="shared" si="118"/>
        <v>0</v>
      </c>
      <c r="AU81" s="306"/>
      <c r="AV81" s="312">
        <f t="shared" si="119"/>
        <v>0</v>
      </c>
      <c r="AW81" s="310"/>
      <c r="AX81" s="310">
        <f t="shared" si="120"/>
        <v>0</v>
      </c>
      <c r="AY81" s="308"/>
      <c r="AZ81" s="309">
        <f t="shared" si="121"/>
        <v>0</v>
      </c>
      <c r="BA81" s="306"/>
      <c r="BB81" s="312">
        <f t="shared" si="122"/>
        <v>0</v>
      </c>
      <c r="BC81" s="308"/>
      <c r="BD81" s="308">
        <f t="shared" si="123"/>
        <v>0</v>
      </c>
      <c r="BE81" s="310"/>
      <c r="BF81" s="311">
        <f t="shared" si="124"/>
        <v>0</v>
      </c>
      <c r="BG81" s="306"/>
      <c r="BH81" s="312">
        <f t="shared" si="125"/>
        <v>0</v>
      </c>
      <c r="BI81" s="308"/>
      <c r="BJ81" s="308">
        <f t="shared" si="126"/>
        <v>0</v>
      </c>
      <c r="BK81" s="310"/>
      <c r="BL81" s="311">
        <f t="shared" si="127"/>
        <v>0</v>
      </c>
    </row>
    <row r="82" spans="2:64" s="188" customFormat="1" ht="37" customHeight="1" x14ac:dyDescent="0.35">
      <c r="B82" s="300" t="str">
        <f>IF(ISBLANK($E82)," ",IF(AND(COUNTA(E$59:$E82)+64&gt;72,COUNTA(E$59:$E82)+64&lt;78),CHAR(COUNTA(E$59:$E82)+65),IF(COUNTA(E$59:$E82)+64&gt;77,CHAR(COUNTA(E$59:$E82)+66),CHAR(COUNTA(E$59:$E82)+64))))</f>
        <v>V</v>
      </c>
      <c r="C82" s="315" t="s">
        <v>169</v>
      </c>
      <c r="D82" s="302" t="s">
        <v>135</v>
      </c>
      <c r="E82" s="303">
        <v>21</v>
      </c>
      <c r="F82" s="304">
        <v>33.300000000000004</v>
      </c>
      <c r="G82" s="305">
        <v>699.30000000000007</v>
      </c>
      <c r="H82" s="306">
        <v>96</v>
      </c>
      <c r="I82" s="307">
        <v>21</v>
      </c>
      <c r="J82" s="308">
        <f t="shared" si="101"/>
        <v>2016</v>
      </c>
      <c r="K82" s="308"/>
      <c r="L82" s="308">
        <f t="shared" si="102"/>
        <v>0</v>
      </c>
      <c r="M82" s="308"/>
      <c r="N82" s="309">
        <f t="shared" si="103"/>
        <v>0</v>
      </c>
      <c r="O82" s="310"/>
      <c r="P82" s="311">
        <f t="shared" si="104"/>
        <v>0</v>
      </c>
      <c r="Q82" s="310">
        <v>34</v>
      </c>
      <c r="R82" s="311">
        <f t="shared" si="105"/>
        <v>714</v>
      </c>
      <c r="S82" s="310"/>
      <c r="T82" s="311">
        <f t="shared" si="106"/>
        <v>0</v>
      </c>
      <c r="U82" s="306">
        <v>42</v>
      </c>
      <c r="V82" s="307">
        <v>21</v>
      </c>
      <c r="W82" s="308">
        <f t="shared" si="107"/>
        <v>882</v>
      </c>
      <c r="X82" s="307"/>
      <c r="Y82" s="308">
        <f t="shared" si="108"/>
        <v>0</v>
      </c>
      <c r="Z82" s="307"/>
      <c r="AA82" s="308">
        <f t="shared" si="109"/>
        <v>0</v>
      </c>
      <c r="AB82" s="307"/>
      <c r="AC82" s="308">
        <f t="shared" si="110"/>
        <v>0</v>
      </c>
      <c r="AD82" s="313"/>
      <c r="AE82" s="311">
        <f t="shared" si="111"/>
        <v>0</v>
      </c>
      <c r="AF82" s="306">
        <v>344</v>
      </c>
      <c r="AG82" s="314">
        <v>21</v>
      </c>
      <c r="AH82" s="312">
        <f t="shared" si="112"/>
        <v>7224</v>
      </c>
      <c r="AI82" s="310"/>
      <c r="AJ82" s="311">
        <f t="shared" si="113"/>
        <v>0</v>
      </c>
      <c r="AK82" s="306"/>
      <c r="AL82" s="308">
        <f t="shared" si="114"/>
        <v>0</v>
      </c>
      <c r="AM82" s="307"/>
      <c r="AN82" s="308">
        <f t="shared" si="115"/>
        <v>0</v>
      </c>
      <c r="AO82" s="308"/>
      <c r="AP82" s="308">
        <f t="shared" si="116"/>
        <v>0</v>
      </c>
      <c r="AQ82" s="308"/>
      <c r="AR82" s="308">
        <f t="shared" si="117"/>
        <v>0</v>
      </c>
      <c r="AS82" s="310"/>
      <c r="AT82" s="311">
        <f t="shared" si="118"/>
        <v>0</v>
      </c>
      <c r="AU82" s="306"/>
      <c r="AV82" s="312">
        <f t="shared" si="119"/>
        <v>0</v>
      </c>
      <c r="AW82" s="310"/>
      <c r="AX82" s="310">
        <f t="shared" si="120"/>
        <v>0</v>
      </c>
      <c r="AY82" s="308"/>
      <c r="AZ82" s="309">
        <f t="shared" si="121"/>
        <v>0</v>
      </c>
      <c r="BA82" s="306"/>
      <c r="BB82" s="312">
        <f t="shared" si="122"/>
        <v>0</v>
      </c>
      <c r="BC82" s="308"/>
      <c r="BD82" s="308">
        <f t="shared" si="123"/>
        <v>0</v>
      </c>
      <c r="BE82" s="310"/>
      <c r="BF82" s="311">
        <f t="shared" si="124"/>
        <v>0</v>
      </c>
      <c r="BG82" s="306"/>
      <c r="BH82" s="312">
        <f t="shared" si="125"/>
        <v>0</v>
      </c>
      <c r="BI82" s="308"/>
      <c r="BJ82" s="308">
        <f t="shared" si="126"/>
        <v>0</v>
      </c>
      <c r="BK82" s="310"/>
      <c r="BL82" s="311">
        <f t="shared" si="127"/>
        <v>0</v>
      </c>
    </row>
    <row r="83" spans="2:64" s="188" customFormat="1" ht="37" customHeight="1" x14ac:dyDescent="0.35">
      <c r="B83" s="300" t="str">
        <f>IF(ISBLANK($E83)," ",IF(AND(COUNTA(E$59:$E83)+64&gt;72,COUNTA(E$59:$E83)+64&lt;78),CHAR(COUNTA(E$59:$E83)+65),IF(COUNTA(E$59:$E83)+64&gt;77,CHAR(COUNTA(E$59:$E83)+66),CHAR(COUNTA(E$59:$E83)+64))))</f>
        <v>W</v>
      </c>
      <c r="C83" s="315" t="s">
        <v>170</v>
      </c>
      <c r="D83" s="302" t="s">
        <v>135</v>
      </c>
      <c r="E83" s="303">
        <v>2</v>
      </c>
      <c r="F83" s="304">
        <v>5260.5</v>
      </c>
      <c r="G83" s="305">
        <v>10521</v>
      </c>
      <c r="H83" s="306">
        <v>25018</v>
      </c>
      <c r="I83" s="307">
        <v>2</v>
      </c>
      <c r="J83" s="308">
        <f t="shared" si="101"/>
        <v>50036</v>
      </c>
      <c r="K83" s="308"/>
      <c r="L83" s="308">
        <f t="shared" si="102"/>
        <v>0</v>
      </c>
      <c r="M83" s="308"/>
      <c r="N83" s="309">
        <f t="shared" si="103"/>
        <v>0</v>
      </c>
      <c r="O83" s="310"/>
      <c r="P83" s="311">
        <f t="shared" si="104"/>
        <v>0</v>
      </c>
      <c r="Q83" s="310">
        <v>12500</v>
      </c>
      <c r="R83" s="311">
        <f t="shared" si="105"/>
        <v>25000</v>
      </c>
      <c r="S83" s="310"/>
      <c r="T83" s="311">
        <f t="shared" si="106"/>
        <v>0</v>
      </c>
      <c r="U83" s="306">
        <v>6634</v>
      </c>
      <c r="V83" s="307">
        <v>2</v>
      </c>
      <c r="W83" s="308">
        <f t="shared" si="107"/>
        <v>13268</v>
      </c>
      <c r="X83" s="307"/>
      <c r="Y83" s="308">
        <f t="shared" si="108"/>
        <v>0</v>
      </c>
      <c r="Z83" s="307"/>
      <c r="AA83" s="308">
        <f t="shared" si="109"/>
        <v>0</v>
      </c>
      <c r="AB83" s="307"/>
      <c r="AC83" s="308">
        <f t="shared" si="110"/>
        <v>0</v>
      </c>
      <c r="AD83" s="313"/>
      <c r="AE83" s="311">
        <f t="shared" si="111"/>
        <v>0</v>
      </c>
      <c r="AF83" s="306">
        <v>3974</v>
      </c>
      <c r="AG83" s="314">
        <v>2</v>
      </c>
      <c r="AH83" s="312">
        <f t="shared" si="112"/>
        <v>7948</v>
      </c>
      <c r="AI83" s="310"/>
      <c r="AJ83" s="311">
        <f t="shared" si="113"/>
        <v>0</v>
      </c>
      <c r="AK83" s="306"/>
      <c r="AL83" s="308">
        <f t="shared" si="114"/>
        <v>0</v>
      </c>
      <c r="AM83" s="307"/>
      <c r="AN83" s="308">
        <f t="shared" si="115"/>
        <v>0</v>
      </c>
      <c r="AO83" s="308"/>
      <c r="AP83" s="308">
        <f t="shared" si="116"/>
        <v>0</v>
      </c>
      <c r="AQ83" s="308"/>
      <c r="AR83" s="308">
        <f t="shared" si="117"/>
        <v>0</v>
      </c>
      <c r="AS83" s="310"/>
      <c r="AT83" s="311">
        <f t="shared" si="118"/>
        <v>0</v>
      </c>
      <c r="AU83" s="306"/>
      <c r="AV83" s="312">
        <f t="shared" si="119"/>
        <v>0</v>
      </c>
      <c r="AW83" s="310"/>
      <c r="AX83" s="310">
        <f t="shared" si="120"/>
        <v>0</v>
      </c>
      <c r="AY83" s="308"/>
      <c r="AZ83" s="309">
        <f t="shared" si="121"/>
        <v>0</v>
      </c>
      <c r="BA83" s="306"/>
      <c r="BB83" s="312">
        <f t="shared" si="122"/>
        <v>0</v>
      </c>
      <c r="BC83" s="308"/>
      <c r="BD83" s="308">
        <f t="shared" si="123"/>
        <v>0</v>
      </c>
      <c r="BE83" s="310"/>
      <c r="BF83" s="311">
        <f t="shared" si="124"/>
        <v>0</v>
      </c>
      <c r="BG83" s="306"/>
      <c r="BH83" s="312">
        <f t="shared" si="125"/>
        <v>0</v>
      </c>
      <c r="BI83" s="308"/>
      <c r="BJ83" s="308">
        <f t="shared" si="126"/>
        <v>0</v>
      </c>
      <c r="BK83" s="310"/>
      <c r="BL83" s="311">
        <f t="shared" si="127"/>
        <v>0</v>
      </c>
    </row>
    <row r="84" spans="2:64" s="188" customFormat="1" ht="37" customHeight="1" x14ac:dyDescent="0.35">
      <c r="B84" s="300" t="str">
        <f>IF(ISBLANK($E84)," ",IF(AND(COUNTA(E$59:$E84)+64&gt;72,COUNTA(E$59:$E84)+64&lt;78),CHAR(COUNTA(E$59:$E84)+65),IF(COUNTA(E$59:$E84)+64&gt;77,CHAR(COUNTA(E$59:$E84)+66),CHAR(COUNTA(E$59:$E84)+64))))</f>
        <v xml:space="preserve"> </v>
      </c>
      <c r="C84" s="301" t="s">
        <v>171</v>
      </c>
      <c r="D84" s="302"/>
      <c r="E84" s="303"/>
      <c r="F84" s="304"/>
      <c r="G84" s="305"/>
      <c r="H84" s="306"/>
      <c r="I84" s="307"/>
      <c r="J84" s="308"/>
      <c r="K84" s="308"/>
      <c r="L84" s="308"/>
      <c r="M84" s="308"/>
      <c r="N84" s="309"/>
      <c r="O84" s="310"/>
      <c r="P84" s="311"/>
      <c r="Q84" s="310"/>
      <c r="R84" s="311"/>
      <c r="S84" s="310"/>
      <c r="T84" s="311"/>
      <c r="U84" s="306"/>
      <c r="V84" s="307"/>
      <c r="W84" s="308"/>
      <c r="X84" s="307"/>
      <c r="Y84" s="308"/>
      <c r="Z84" s="307"/>
      <c r="AA84" s="308"/>
      <c r="AB84" s="307"/>
      <c r="AC84" s="308"/>
      <c r="AD84" s="313"/>
      <c r="AE84" s="311"/>
      <c r="AF84" s="306"/>
      <c r="AG84" s="314"/>
      <c r="AH84" s="312"/>
      <c r="AI84" s="310"/>
      <c r="AJ84" s="311"/>
      <c r="AK84" s="306"/>
      <c r="AL84" s="308"/>
      <c r="AM84" s="307"/>
      <c r="AN84" s="308"/>
      <c r="AO84" s="308"/>
      <c r="AP84" s="308"/>
      <c r="AQ84" s="308"/>
      <c r="AR84" s="308"/>
      <c r="AS84" s="310"/>
      <c r="AT84" s="311"/>
      <c r="AU84" s="306"/>
      <c r="AV84" s="312"/>
      <c r="AW84" s="310"/>
      <c r="AX84" s="310"/>
      <c r="AY84" s="308"/>
      <c r="AZ84" s="309"/>
      <c r="BA84" s="306"/>
      <c r="BB84" s="312"/>
      <c r="BC84" s="308"/>
      <c r="BD84" s="308"/>
      <c r="BE84" s="310"/>
      <c r="BF84" s="311"/>
      <c r="BG84" s="306"/>
      <c r="BH84" s="312"/>
      <c r="BI84" s="308"/>
      <c r="BJ84" s="308"/>
      <c r="BK84" s="310"/>
      <c r="BL84" s="311"/>
    </row>
    <row r="85" spans="2:64" s="188" customFormat="1" ht="37" customHeight="1" x14ac:dyDescent="0.35">
      <c r="B85" s="300" t="str">
        <f>IF(ISBLANK($E85)," ",IF(AND(COUNTA(E$83:$E85)+64&gt;72,COUNTA(E$83:$E85)+64&lt;78),CHAR(COUNTA(E$83:$E85)+65),IF(COUNTA(E$83:$E85)+64&gt;77,CHAR(COUNTA(E$83:$E85)+66),CHAR(COUNTA(E$83:$E85)+64))))</f>
        <v>B</v>
      </c>
      <c r="C85" s="315" t="s">
        <v>172</v>
      </c>
      <c r="D85" s="302" t="s">
        <v>135</v>
      </c>
      <c r="E85" s="303">
        <v>133</v>
      </c>
      <c r="F85" s="304">
        <v>14.4</v>
      </c>
      <c r="G85" s="305">
        <v>1915.2</v>
      </c>
      <c r="H85" s="306">
        <v>49</v>
      </c>
      <c r="I85" s="307">
        <v>133</v>
      </c>
      <c r="J85" s="308">
        <f t="shared" ref="J85:J91" si="128">H85*$I85</f>
        <v>6517</v>
      </c>
      <c r="K85" s="308"/>
      <c r="L85" s="308">
        <f t="shared" ref="L85:L91" si="129">K85*$E85</f>
        <v>0</v>
      </c>
      <c r="M85" s="308"/>
      <c r="N85" s="309">
        <f t="shared" ref="N85:N91" si="130">M85*$E85</f>
        <v>0</v>
      </c>
      <c r="O85" s="310"/>
      <c r="P85" s="311">
        <f t="shared" ref="P85:P91" si="131">O85*$E85</f>
        <v>0</v>
      </c>
      <c r="Q85" s="310">
        <v>38</v>
      </c>
      <c r="R85" s="311">
        <f t="shared" ref="R85:R91" si="132">Q85*$E85</f>
        <v>5054</v>
      </c>
      <c r="S85" s="310"/>
      <c r="T85" s="311">
        <f t="shared" ref="T85:T91" si="133">S85*$E85</f>
        <v>0</v>
      </c>
      <c r="U85" s="306">
        <v>18</v>
      </c>
      <c r="V85" s="307">
        <v>133</v>
      </c>
      <c r="W85" s="308">
        <f t="shared" ref="W85:W91" si="134">U85*$V85</f>
        <v>2394</v>
      </c>
      <c r="X85" s="307"/>
      <c r="Y85" s="308">
        <f t="shared" ref="Y85:Y91" si="135">X85*$E85</f>
        <v>0</v>
      </c>
      <c r="Z85" s="307"/>
      <c r="AA85" s="308">
        <f t="shared" ref="AA85:AA91" si="136">Z85*$E85</f>
        <v>0</v>
      </c>
      <c r="AB85" s="307"/>
      <c r="AC85" s="308">
        <f t="shared" ref="AC85:AC91" si="137">AB85*$E85</f>
        <v>0</v>
      </c>
      <c r="AD85" s="313"/>
      <c r="AE85" s="311">
        <f t="shared" ref="AE85:AE91" si="138">AD85*$E85</f>
        <v>0</v>
      </c>
      <c r="AF85" s="306">
        <v>32</v>
      </c>
      <c r="AG85" s="314">
        <v>133</v>
      </c>
      <c r="AH85" s="312">
        <f t="shared" ref="AH85:AH91" si="139">AF85*$AG85</f>
        <v>4256</v>
      </c>
      <c r="AI85" s="310"/>
      <c r="AJ85" s="311">
        <f t="shared" ref="AJ85:AJ91" si="140">AI85*$E85</f>
        <v>0</v>
      </c>
      <c r="AK85" s="306"/>
      <c r="AL85" s="308">
        <f t="shared" ref="AL85:AL91" si="141">AK85*$E85</f>
        <v>0</v>
      </c>
      <c r="AM85" s="307"/>
      <c r="AN85" s="308">
        <f t="shared" ref="AN85:AN91" si="142">AM85*$E85</f>
        <v>0</v>
      </c>
      <c r="AO85" s="308"/>
      <c r="AP85" s="308">
        <f t="shared" ref="AP85:AP91" si="143">AO85*$E85</f>
        <v>0</v>
      </c>
      <c r="AQ85" s="308"/>
      <c r="AR85" s="308">
        <f t="shared" ref="AR85:AR91" si="144">AQ85*$E85</f>
        <v>0</v>
      </c>
      <c r="AS85" s="310"/>
      <c r="AT85" s="311">
        <f t="shared" ref="AT85:AT91" si="145">AS85*$E85</f>
        <v>0</v>
      </c>
      <c r="AU85" s="306"/>
      <c r="AV85" s="312">
        <f t="shared" ref="AV85:AV91" si="146">AU85*$E85</f>
        <v>0</v>
      </c>
      <c r="AW85" s="310"/>
      <c r="AX85" s="310">
        <f t="shared" ref="AX85:AX91" si="147">AW85*$E85</f>
        <v>0</v>
      </c>
      <c r="AY85" s="308"/>
      <c r="AZ85" s="309">
        <f t="shared" ref="AZ85:AZ91" si="148">AY85*$E85</f>
        <v>0</v>
      </c>
      <c r="BA85" s="306"/>
      <c r="BB85" s="312">
        <f t="shared" ref="BB85:BB91" si="149">BA85*$E85</f>
        <v>0</v>
      </c>
      <c r="BC85" s="308"/>
      <c r="BD85" s="308">
        <f t="shared" ref="BD85:BD91" si="150">BC85*$E85</f>
        <v>0</v>
      </c>
      <c r="BE85" s="310"/>
      <c r="BF85" s="311">
        <f t="shared" ref="BF85:BF91" si="151">BE85*$E85</f>
        <v>0</v>
      </c>
      <c r="BG85" s="306"/>
      <c r="BH85" s="312">
        <f t="shared" ref="BH85:BH91" si="152">BG85*$E85</f>
        <v>0</v>
      </c>
      <c r="BI85" s="308"/>
      <c r="BJ85" s="308">
        <f t="shared" ref="BJ85:BJ91" si="153">BI85*$E85</f>
        <v>0</v>
      </c>
      <c r="BK85" s="310"/>
      <c r="BL85" s="311">
        <f t="shared" ref="BL85:BL91" si="154">BK85*$E85</f>
        <v>0</v>
      </c>
    </row>
    <row r="86" spans="2:64" s="188" customFormat="1" ht="37" customHeight="1" x14ac:dyDescent="0.35">
      <c r="B86" s="300" t="str">
        <f>IF(ISBLANK($E86)," ",IF(AND(COUNTA(E$83:$E86)+64&gt;72,COUNTA(E$83:$E86)+64&lt;78),CHAR(COUNTA(E$83:$E86)+65),IF(COUNTA(E$83:$E86)+64&gt;77,CHAR(COUNTA(E$83:$E86)+66),CHAR(COUNTA(E$83:$E86)+64))))</f>
        <v>C</v>
      </c>
      <c r="C86" s="315" t="s">
        <v>173</v>
      </c>
      <c r="D86" s="302" t="s">
        <v>135</v>
      </c>
      <c r="E86" s="303">
        <v>203</v>
      </c>
      <c r="F86" s="304">
        <v>46.800000000000004</v>
      </c>
      <c r="G86" s="305">
        <v>9500.4000000000015</v>
      </c>
      <c r="H86" s="306">
        <v>161</v>
      </c>
      <c r="I86" s="307">
        <v>203</v>
      </c>
      <c r="J86" s="308">
        <f t="shared" si="128"/>
        <v>32683</v>
      </c>
      <c r="K86" s="308"/>
      <c r="L86" s="308">
        <f t="shared" si="129"/>
        <v>0</v>
      </c>
      <c r="M86" s="308"/>
      <c r="N86" s="309">
        <f t="shared" si="130"/>
        <v>0</v>
      </c>
      <c r="O86" s="310"/>
      <c r="P86" s="311">
        <f t="shared" si="131"/>
        <v>0</v>
      </c>
      <c r="Q86" s="310">
        <v>132</v>
      </c>
      <c r="R86" s="311">
        <f t="shared" si="132"/>
        <v>26796</v>
      </c>
      <c r="S86" s="310"/>
      <c r="T86" s="311">
        <f t="shared" si="133"/>
        <v>0</v>
      </c>
      <c r="U86" s="306">
        <v>58</v>
      </c>
      <c r="V86" s="307">
        <v>203</v>
      </c>
      <c r="W86" s="308">
        <f t="shared" si="134"/>
        <v>11774</v>
      </c>
      <c r="X86" s="307"/>
      <c r="Y86" s="308">
        <f t="shared" si="135"/>
        <v>0</v>
      </c>
      <c r="Z86" s="307"/>
      <c r="AA86" s="308">
        <f t="shared" si="136"/>
        <v>0</v>
      </c>
      <c r="AB86" s="307"/>
      <c r="AC86" s="308">
        <f t="shared" si="137"/>
        <v>0</v>
      </c>
      <c r="AD86" s="313"/>
      <c r="AE86" s="311">
        <f t="shared" si="138"/>
        <v>0</v>
      </c>
      <c r="AF86" s="306">
        <v>40</v>
      </c>
      <c r="AG86" s="314">
        <v>203</v>
      </c>
      <c r="AH86" s="312">
        <f t="shared" si="139"/>
        <v>8120</v>
      </c>
      <c r="AI86" s="310"/>
      <c r="AJ86" s="311">
        <f t="shared" si="140"/>
        <v>0</v>
      </c>
      <c r="AK86" s="306"/>
      <c r="AL86" s="308">
        <f t="shared" si="141"/>
        <v>0</v>
      </c>
      <c r="AM86" s="307"/>
      <c r="AN86" s="308">
        <f t="shared" si="142"/>
        <v>0</v>
      </c>
      <c r="AO86" s="308"/>
      <c r="AP86" s="308">
        <f t="shared" si="143"/>
        <v>0</v>
      </c>
      <c r="AQ86" s="308"/>
      <c r="AR86" s="308">
        <f t="shared" si="144"/>
        <v>0</v>
      </c>
      <c r="AS86" s="310"/>
      <c r="AT86" s="311">
        <f t="shared" si="145"/>
        <v>0</v>
      </c>
      <c r="AU86" s="306"/>
      <c r="AV86" s="312">
        <f t="shared" si="146"/>
        <v>0</v>
      </c>
      <c r="AW86" s="310"/>
      <c r="AX86" s="310">
        <f t="shared" si="147"/>
        <v>0</v>
      </c>
      <c r="AY86" s="308"/>
      <c r="AZ86" s="309">
        <f t="shared" si="148"/>
        <v>0</v>
      </c>
      <c r="BA86" s="306"/>
      <c r="BB86" s="312">
        <f t="shared" si="149"/>
        <v>0</v>
      </c>
      <c r="BC86" s="308"/>
      <c r="BD86" s="308">
        <f t="shared" si="150"/>
        <v>0</v>
      </c>
      <c r="BE86" s="310"/>
      <c r="BF86" s="311">
        <f t="shared" si="151"/>
        <v>0</v>
      </c>
      <c r="BG86" s="306"/>
      <c r="BH86" s="312">
        <f t="shared" si="152"/>
        <v>0</v>
      </c>
      <c r="BI86" s="308"/>
      <c r="BJ86" s="308">
        <f t="shared" si="153"/>
        <v>0</v>
      </c>
      <c r="BK86" s="310"/>
      <c r="BL86" s="311">
        <f t="shared" si="154"/>
        <v>0</v>
      </c>
    </row>
    <row r="87" spans="2:64" s="188" customFormat="1" ht="37" customHeight="1" x14ac:dyDescent="0.35">
      <c r="B87" s="300" t="str">
        <f>IF(ISBLANK($E87)," ",IF(AND(COUNTA(E$83:$E87)+64&gt;72,COUNTA(E$83:$E87)+64&lt;78),CHAR(COUNTA(E$83:$E87)+65),IF(COUNTA(E$83:$E87)+64&gt;77,CHAR(COUNTA(E$83:$E87)+66),CHAR(COUNTA(E$83:$E87)+64))))</f>
        <v>D</v>
      </c>
      <c r="C87" s="315" t="s">
        <v>174</v>
      </c>
      <c r="D87" s="302" t="s">
        <v>135</v>
      </c>
      <c r="E87" s="303">
        <v>299</v>
      </c>
      <c r="F87" s="304">
        <v>15.3</v>
      </c>
      <c r="G87" s="305">
        <v>4574.7</v>
      </c>
      <c r="H87" s="306">
        <v>53</v>
      </c>
      <c r="I87" s="307">
        <v>299</v>
      </c>
      <c r="J87" s="308">
        <f t="shared" si="128"/>
        <v>15847</v>
      </c>
      <c r="K87" s="308"/>
      <c r="L87" s="308">
        <f t="shared" si="129"/>
        <v>0</v>
      </c>
      <c r="M87" s="308"/>
      <c r="N87" s="309">
        <f t="shared" si="130"/>
        <v>0</v>
      </c>
      <c r="O87" s="310"/>
      <c r="P87" s="311">
        <f t="shared" si="131"/>
        <v>0</v>
      </c>
      <c r="Q87" s="310">
        <v>74</v>
      </c>
      <c r="R87" s="311">
        <f t="shared" si="132"/>
        <v>22126</v>
      </c>
      <c r="S87" s="310"/>
      <c r="T87" s="311">
        <f t="shared" si="133"/>
        <v>0</v>
      </c>
      <c r="U87" s="306">
        <v>19</v>
      </c>
      <c r="V87" s="307">
        <v>299</v>
      </c>
      <c r="W87" s="308">
        <f t="shared" si="134"/>
        <v>5681</v>
      </c>
      <c r="X87" s="307"/>
      <c r="Y87" s="308">
        <f t="shared" si="135"/>
        <v>0</v>
      </c>
      <c r="Z87" s="307"/>
      <c r="AA87" s="308">
        <f t="shared" si="136"/>
        <v>0</v>
      </c>
      <c r="AB87" s="307"/>
      <c r="AC87" s="308">
        <f t="shared" si="137"/>
        <v>0</v>
      </c>
      <c r="AD87" s="313"/>
      <c r="AE87" s="311">
        <f t="shared" si="138"/>
        <v>0</v>
      </c>
      <c r="AF87" s="306">
        <v>54</v>
      </c>
      <c r="AG87" s="314">
        <v>299</v>
      </c>
      <c r="AH87" s="312">
        <f t="shared" si="139"/>
        <v>16146</v>
      </c>
      <c r="AI87" s="310"/>
      <c r="AJ87" s="311">
        <f t="shared" si="140"/>
        <v>0</v>
      </c>
      <c r="AK87" s="306"/>
      <c r="AL87" s="308">
        <f t="shared" si="141"/>
        <v>0</v>
      </c>
      <c r="AM87" s="307"/>
      <c r="AN87" s="308">
        <f t="shared" si="142"/>
        <v>0</v>
      </c>
      <c r="AO87" s="308"/>
      <c r="AP87" s="308">
        <f t="shared" si="143"/>
        <v>0</v>
      </c>
      <c r="AQ87" s="308"/>
      <c r="AR87" s="308">
        <f t="shared" si="144"/>
        <v>0</v>
      </c>
      <c r="AS87" s="310"/>
      <c r="AT87" s="311">
        <f t="shared" si="145"/>
        <v>0</v>
      </c>
      <c r="AU87" s="306"/>
      <c r="AV87" s="312">
        <f t="shared" si="146"/>
        <v>0</v>
      </c>
      <c r="AW87" s="310"/>
      <c r="AX87" s="310">
        <f t="shared" si="147"/>
        <v>0</v>
      </c>
      <c r="AY87" s="308"/>
      <c r="AZ87" s="309">
        <f t="shared" si="148"/>
        <v>0</v>
      </c>
      <c r="BA87" s="306"/>
      <c r="BB87" s="312">
        <f t="shared" si="149"/>
        <v>0</v>
      </c>
      <c r="BC87" s="308"/>
      <c r="BD87" s="308">
        <f t="shared" si="150"/>
        <v>0</v>
      </c>
      <c r="BE87" s="310"/>
      <c r="BF87" s="311">
        <f t="shared" si="151"/>
        <v>0</v>
      </c>
      <c r="BG87" s="306"/>
      <c r="BH87" s="312">
        <f t="shared" si="152"/>
        <v>0</v>
      </c>
      <c r="BI87" s="308"/>
      <c r="BJ87" s="308">
        <f t="shared" si="153"/>
        <v>0</v>
      </c>
      <c r="BK87" s="310"/>
      <c r="BL87" s="311">
        <f t="shared" si="154"/>
        <v>0</v>
      </c>
    </row>
    <row r="88" spans="2:64" s="188" customFormat="1" ht="37" customHeight="1" x14ac:dyDescent="0.35">
      <c r="B88" s="300" t="str">
        <f>IF(ISBLANK($E88)," ",IF(AND(COUNTA(E$83:$E88)+64&gt;72,COUNTA(E$83:$E88)+64&lt;78),CHAR(COUNTA(E$83:$E88)+65),IF(COUNTA(E$83:$E88)+64&gt;77,CHAR(COUNTA(E$83:$E88)+66),CHAR(COUNTA(E$83:$E88)+64))))</f>
        <v>E</v>
      </c>
      <c r="C88" s="315" t="s">
        <v>175</v>
      </c>
      <c r="D88" s="302" t="s">
        <v>135</v>
      </c>
      <c r="E88" s="303">
        <v>879</v>
      </c>
      <c r="F88" s="304">
        <v>7.2</v>
      </c>
      <c r="G88" s="305">
        <v>6328.8</v>
      </c>
      <c r="H88" s="306">
        <v>41</v>
      </c>
      <c r="I88" s="307">
        <v>879</v>
      </c>
      <c r="J88" s="308">
        <f t="shared" si="128"/>
        <v>36039</v>
      </c>
      <c r="K88" s="308"/>
      <c r="L88" s="308">
        <f t="shared" si="129"/>
        <v>0</v>
      </c>
      <c r="M88" s="308"/>
      <c r="N88" s="309">
        <f t="shared" si="130"/>
        <v>0</v>
      </c>
      <c r="O88" s="310"/>
      <c r="P88" s="311">
        <f t="shared" si="131"/>
        <v>0</v>
      </c>
      <c r="Q88" s="310">
        <v>42</v>
      </c>
      <c r="R88" s="311">
        <f t="shared" si="132"/>
        <v>36918</v>
      </c>
      <c r="S88" s="310"/>
      <c r="T88" s="311">
        <f t="shared" si="133"/>
        <v>0</v>
      </c>
      <c r="U88" s="306">
        <v>9</v>
      </c>
      <c r="V88" s="307">
        <v>949</v>
      </c>
      <c r="W88" s="308">
        <f t="shared" si="134"/>
        <v>8541</v>
      </c>
      <c r="X88" s="307"/>
      <c r="Y88" s="308">
        <f t="shared" si="135"/>
        <v>0</v>
      </c>
      <c r="Z88" s="307"/>
      <c r="AA88" s="308">
        <f t="shared" si="136"/>
        <v>0</v>
      </c>
      <c r="AB88" s="307"/>
      <c r="AC88" s="308">
        <f t="shared" si="137"/>
        <v>0</v>
      </c>
      <c r="AD88" s="313"/>
      <c r="AE88" s="311">
        <f t="shared" si="138"/>
        <v>0</v>
      </c>
      <c r="AF88" s="306">
        <v>25</v>
      </c>
      <c r="AG88" s="314">
        <v>879</v>
      </c>
      <c r="AH88" s="312">
        <f t="shared" si="139"/>
        <v>21975</v>
      </c>
      <c r="AI88" s="310"/>
      <c r="AJ88" s="311">
        <f t="shared" si="140"/>
        <v>0</v>
      </c>
      <c r="AK88" s="306"/>
      <c r="AL88" s="308">
        <f t="shared" si="141"/>
        <v>0</v>
      </c>
      <c r="AM88" s="307"/>
      <c r="AN88" s="308">
        <f t="shared" si="142"/>
        <v>0</v>
      </c>
      <c r="AO88" s="308"/>
      <c r="AP88" s="308">
        <f t="shared" si="143"/>
        <v>0</v>
      </c>
      <c r="AQ88" s="308"/>
      <c r="AR88" s="308">
        <f t="shared" si="144"/>
        <v>0</v>
      </c>
      <c r="AS88" s="310"/>
      <c r="AT88" s="311">
        <f t="shared" si="145"/>
        <v>0</v>
      </c>
      <c r="AU88" s="306"/>
      <c r="AV88" s="312">
        <f t="shared" si="146"/>
        <v>0</v>
      </c>
      <c r="AW88" s="310"/>
      <c r="AX88" s="310">
        <f t="shared" si="147"/>
        <v>0</v>
      </c>
      <c r="AY88" s="308"/>
      <c r="AZ88" s="309">
        <f t="shared" si="148"/>
        <v>0</v>
      </c>
      <c r="BA88" s="306"/>
      <c r="BB88" s="312">
        <f t="shared" si="149"/>
        <v>0</v>
      </c>
      <c r="BC88" s="308"/>
      <c r="BD88" s="308">
        <f t="shared" si="150"/>
        <v>0</v>
      </c>
      <c r="BE88" s="310"/>
      <c r="BF88" s="311">
        <f t="shared" si="151"/>
        <v>0</v>
      </c>
      <c r="BG88" s="306"/>
      <c r="BH88" s="312">
        <f t="shared" si="152"/>
        <v>0</v>
      </c>
      <c r="BI88" s="308"/>
      <c r="BJ88" s="308">
        <f t="shared" si="153"/>
        <v>0</v>
      </c>
      <c r="BK88" s="310"/>
      <c r="BL88" s="311">
        <f t="shared" si="154"/>
        <v>0</v>
      </c>
    </row>
    <row r="89" spans="2:64" s="188" customFormat="1" ht="37" customHeight="1" x14ac:dyDescent="0.35">
      <c r="B89" s="300" t="str">
        <f>IF(ISBLANK($E89)," ",IF(AND(COUNTA(E$83:$E89)+64&gt;72,COUNTA(E$83:$E89)+64&lt;78),CHAR(COUNTA(E$83:$E89)+65),IF(COUNTA(E$83:$E89)+64&gt;77,CHAR(COUNTA(E$83:$E89)+66),CHAR(COUNTA(E$83:$E89)+64))))</f>
        <v>F</v>
      </c>
      <c r="C89" s="315" t="s">
        <v>176</v>
      </c>
      <c r="D89" s="302" t="s">
        <v>135</v>
      </c>
      <c r="E89" s="303">
        <v>656</v>
      </c>
      <c r="F89" s="304">
        <v>9</v>
      </c>
      <c r="G89" s="305">
        <v>5904</v>
      </c>
      <c r="H89" s="306">
        <v>41</v>
      </c>
      <c r="I89" s="307">
        <v>656</v>
      </c>
      <c r="J89" s="308">
        <f t="shared" si="128"/>
        <v>26896</v>
      </c>
      <c r="K89" s="308"/>
      <c r="L89" s="308">
        <f t="shared" si="129"/>
        <v>0</v>
      </c>
      <c r="M89" s="308"/>
      <c r="N89" s="309">
        <f t="shared" si="130"/>
        <v>0</v>
      </c>
      <c r="O89" s="310"/>
      <c r="P89" s="311">
        <f t="shared" si="131"/>
        <v>0</v>
      </c>
      <c r="Q89" s="310">
        <v>38</v>
      </c>
      <c r="R89" s="311">
        <f t="shared" si="132"/>
        <v>24928</v>
      </c>
      <c r="S89" s="310"/>
      <c r="T89" s="311">
        <f t="shared" si="133"/>
        <v>0</v>
      </c>
      <c r="U89" s="306">
        <v>11</v>
      </c>
      <c r="V89" s="307">
        <v>656</v>
      </c>
      <c r="W89" s="308">
        <f t="shared" si="134"/>
        <v>7216</v>
      </c>
      <c r="X89" s="307"/>
      <c r="Y89" s="308">
        <f t="shared" si="135"/>
        <v>0</v>
      </c>
      <c r="Z89" s="307"/>
      <c r="AA89" s="308">
        <f t="shared" si="136"/>
        <v>0</v>
      </c>
      <c r="AB89" s="307"/>
      <c r="AC89" s="308">
        <f t="shared" si="137"/>
        <v>0</v>
      </c>
      <c r="AD89" s="313"/>
      <c r="AE89" s="311">
        <f t="shared" si="138"/>
        <v>0</v>
      </c>
      <c r="AF89" s="306">
        <v>32</v>
      </c>
      <c r="AG89" s="314">
        <v>656</v>
      </c>
      <c r="AH89" s="312">
        <f t="shared" si="139"/>
        <v>20992</v>
      </c>
      <c r="AI89" s="310"/>
      <c r="AJ89" s="311">
        <f t="shared" si="140"/>
        <v>0</v>
      </c>
      <c r="AK89" s="306"/>
      <c r="AL89" s="308">
        <f t="shared" si="141"/>
        <v>0</v>
      </c>
      <c r="AM89" s="307"/>
      <c r="AN89" s="308">
        <f t="shared" si="142"/>
        <v>0</v>
      </c>
      <c r="AO89" s="308"/>
      <c r="AP89" s="308">
        <f t="shared" si="143"/>
        <v>0</v>
      </c>
      <c r="AQ89" s="308"/>
      <c r="AR89" s="308">
        <f t="shared" si="144"/>
        <v>0</v>
      </c>
      <c r="AS89" s="310"/>
      <c r="AT89" s="311">
        <f t="shared" si="145"/>
        <v>0</v>
      </c>
      <c r="AU89" s="306"/>
      <c r="AV89" s="312">
        <f t="shared" si="146"/>
        <v>0</v>
      </c>
      <c r="AW89" s="310"/>
      <c r="AX89" s="310">
        <f t="shared" si="147"/>
        <v>0</v>
      </c>
      <c r="AY89" s="308"/>
      <c r="AZ89" s="309">
        <f t="shared" si="148"/>
        <v>0</v>
      </c>
      <c r="BA89" s="306"/>
      <c r="BB89" s="312">
        <f t="shared" si="149"/>
        <v>0</v>
      </c>
      <c r="BC89" s="308"/>
      <c r="BD89" s="308">
        <f t="shared" si="150"/>
        <v>0</v>
      </c>
      <c r="BE89" s="310"/>
      <c r="BF89" s="311">
        <f t="shared" si="151"/>
        <v>0</v>
      </c>
      <c r="BG89" s="306"/>
      <c r="BH89" s="312">
        <f t="shared" si="152"/>
        <v>0</v>
      </c>
      <c r="BI89" s="308"/>
      <c r="BJ89" s="308">
        <f t="shared" si="153"/>
        <v>0</v>
      </c>
      <c r="BK89" s="310"/>
      <c r="BL89" s="311">
        <f t="shared" si="154"/>
        <v>0</v>
      </c>
    </row>
    <row r="90" spans="2:64" s="188" customFormat="1" ht="37" customHeight="1" x14ac:dyDescent="0.35">
      <c r="B90" s="300" t="str">
        <f>IF(ISBLANK($E90)," ",IF(AND(COUNTA(E$83:$E90)+64&gt;72,COUNTA(E$83:$E90)+64&lt;78),CHAR(COUNTA(E$83:$E90)+65),IF(COUNTA(E$83:$E90)+64&gt;77,CHAR(COUNTA(E$83:$E90)+66),CHAR(COUNTA(E$83:$E90)+64))))</f>
        <v>G</v>
      </c>
      <c r="C90" s="315" t="s">
        <v>177</v>
      </c>
      <c r="D90" s="302" t="s">
        <v>135</v>
      </c>
      <c r="E90" s="303">
        <v>211</v>
      </c>
      <c r="F90" s="304">
        <v>10.8</v>
      </c>
      <c r="G90" s="305">
        <v>2278.8000000000002</v>
      </c>
      <c r="H90" s="306">
        <v>47</v>
      </c>
      <c r="I90" s="307">
        <v>211</v>
      </c>
      <c r="J90" s="308">
        <f t="shared" si="128"/>
        <v>9917</v>
      </c>
      <c r="K90" s="308"/>
      <c r="L90" s="308">
        <f t="shared" si="129"/>
        <v>0</v>
      </c>
      <c r="M90" s="308"/>
      <c r="N90" s="309">
        <f t="shared" si="130"/>
        <v>0</v>
      </c>
      <c r="O90" s="310"/>
      <c r="P90" s="311">
        <f t="shared" si="131"/>
        <v>0</v>
      </c>
      <c r="Q90" s="310">
        <v>44</v>
      </c>
      <c r="R90" s="311">
        <f t="shared" si="132"/>
        <v>9284</v>
      </c>
      <c r="S90" s="310"/>
      <c r="T90" s="311">
        <f t="shared" si="133"/>
        <v>0</v>
      </c>
      <c r="U90" s="306">
        <v>13</v>
      </c>
      <c r="V90" s="307">
        <v>211</v>
      </c>
      <c r="W90" s="308">
        <f t="shared" si="134"/>
        <v>2743</v>
      </c>
      <c r="X90" s="307"/>
      <c r="Y90" s="308">
        <f t="shared" si="135"/>
        <v>0</v>
      </c>
      <c r="Z90" s="307"/>
      <c r="AA90" s="308">
        <f t="shared" si="136"/>
        <v>0</v>
      </c>
      <c r="AB90" s="307"/>
      <c r="AC90" s="308">
        <f t="shared" si="137"/>
        <v>0</v>
      </c>
      <c r="AD90" s="313"/>
      <c r="AE90" s="311">
        <f t="shared" si="138"/>
        <v>0</v>
      </c>
      <c r="AF90" s="306">
        <v>40</v>
      </c>
      <c r="AG90" s="314">
        <v>211</v>
      </c>
      <c r="AH90" s="312">
        <f t="shared" si="139"/>
        <v>8440</v>
      </c>
      <c r="AI90" s="310"/>
      <c r="AJ90" s="311">
        <f t="shared" si="140"/>
        <v>0</v>
      </c>
      <c r="AK90" s="306"/>
      <c r="AL90" s="308">
        <f t="shared" si="141"/>
        <v>0</v>
      </c>
      <c r="AM90" s="307"/>
      <c r="AN90" s="308">
        <f t="shared" si="142"/>
        <v>0</v>
      </c>
      <c r="AO90" s="308"/>
      <c r="AP90" s="308">
        <f t="shared" si="143"/>
        <v>0</v>
      </c>
      <c r="AQ90" s="308"/>
      <c r="AR90" s="308">
        <f t="shared" si="144"/>
        <v>0</v>
      </c>
      <c r="AS90" s="310"/>
      <c r="AT90" s="311">
        <f t="shared" si="145"/>
        <v>0</v>
      </c>
      <c r="AU90" s="306"/>
      <c r="AV90" s="312">
        <f t="shared" si="146"/>
        <v>0</v>
      </c>
      <c r="AW90" s="310"/>
      <c r="AX90" s="310">
        <f t="shared" si="147"/>
        <v>0</v>
      </c>
      <c r="AY90" s="308"/>
      <c r="AZ90" s="309">
        <f t="shared" si="148"/>
        <v>0</v>
      </c>
      <c r="BA90" s="306"/>
      <c r="BB90" s="312">
        <f t="shared" si="149"/>
        <v>0</v>
      </c>
      <c r="BC90" s="308"/>
      <c r="BD90" s="308">
        <f t="shared" si="150"/>
        <v>0</v>
      </c>
      <c r="BE90" s="310"/>
      <c r="BF90" s="311">
        <f t="shared" si="151"/>
        <v>0</v>
      </c>
      <c r="BG90" s="306"/>
      <c r="BH90" s="312">
        <f t="shared" si="152"/>
        <v>0</v>
      </c>
      <c r="BI90" s="308"/>
      <c r="BJ90" s="308">
        <f t="shared" si="153"/>
        <v>0</v>
      </c>
      <c r="BK90" s="310"/>
      <c r="BL90" s="311">
        <f t="shared" si="154"/>
        <v>0</v>
      </c>
    </row>
    <row r="91" spans="2:64" s="188" customFormat="1" ht="37" customHeight="1" x14ac:dyDescent="0.35">
      <c r="B91" s="300" t="str">
        <f>IF(ISBLANK($E91)," ",IF(AND(COUNTA(E$83:$E91)+64&gt;72,COUNTA(E$83:$E91)+64&lt;78),CHAR(COUNTA(E$83:$E91)+65),IF(COUNTA(E$83:$E91)+64&gt;77,CHAR(COUNTA(E$83:$E91)+66),CHAR(COUNTA(E$83:$E91)+64))))</f>
        <v>H</v>
      </c>
      <c r="C91" s="315" t="s">
        <v>178</v>
      </c>
      <c r="D91" s="302" t="s">
        <v>135</v>
      </c>
      <c r="E91" s="303">
        <v>615</v>
      </c>
      <c r="F91" s="304">
        <v>7.2</v>
      </c>
      <c r="G91" s="305">
        <v>4428</v>
      </c>
      <c r="H91" s="306">
        <v>41</v>
      </c>
      <c r="I91" s="307">
        <v>615</v>
      </c>
      <c r="J91" s="308">
        <f t="shared" si="128"/>
        <v>25215</v>
      </c>
      <c r="K91" s="308"/>
      <c r="L91" s="308">
        <f t="shared" si="129"/>
        <v>0</v>
      </c>
      <c r="M91" s="308"/>
      <c r="N91" s="309">
        <f t="shared" si="130"/>
        <v>0</v>
      </c>
      <c r="O91" s="310"/>
      <c r="P91" s="311">
        <f t="shared" si="131"/>
        <v>0</v>
      </c>
      <c r="Q91" s="310">
        <v>18</v>
      </c>
      <c r="R91" s="311">
        <f t="shared" si="132"/>
        <v>11070</v>
      </c>
      <c r="S91" s="310"/>
      <c r="T91" s="311">
        <f t="shared" si="133"/>
        <v>0</v>
      </c>
      <c r="U91" s="306">
        <v>9</v>
      </c>
      <c r="V91" s="307">
        <v>615</v>
      </c>
      <c r="W91" s="308">
        <f t="shared" si="134"/>
        <v>5535</v>
      </c>
      <c r="X91" s="307"/>
      <c r="Y91" s="308">
        <f t="shared" si="135"/>
        <v>0</v>
      </c>
      <c r="Z91" s="307"/>
      <c r="AA91" s="308">
        <f t="shared" si="136"/>
        <v>0</v>
      </c>
      <c r="AB91" s="307"/>
      <c r="AC91" s="308">
        <f t="shared" si="137"/>
        <v>0</v>
      </c>
      <c r="AD91" s="313"/>
      <c r="AE91" s="311">
        <f t="shared" si="138"/>
        <v>0</v>
      </c>
      <c r="AF91" s="306">
        <v>13</v>
      </c>
      <c r="AG91" s="314">
        <v>615</v>
      </c>
      <c r="AH91" s="312">
        <f t="shared" si="139"/>
        <v>7995</v>
      </c>
      <c r="AI91" s="310"/>
      <c r="AJ91" s="311">
        <f t="shared" si="140"/>
        <v>0</v>
      </c>
      <c r="AK91" s="306"/>
      <c r="AL91" s="308">
        <f t="shared" si="141"/>
        <v>0</v>
      </c>
      <c r="AM91" s="307"/>
      <c r="AN91" s="308">
        <f t="shared" si="142"/>
        <v>0</v>
      </c>
      <c r="AO91" s="308"/>
      <c r="AP91" s="308">
        <f t="shared" si="143"/>
        <v>0</v>
      </c>
      <c r="AQ91" s="308"/>
      <c r="AR91" s="308">
        <f t="shared" si="144"/>
        <v>0</v>
      </c>
      <c r="AS91" s="310"/>
      <c r="AT91" s="311">
        <f t="shared" si="145"/>
        <v>0</v>
      </c>
      <c r="AU91" s="306"/>
      <c r="AV91" s="312">
        <f t="shared" si="146"/>
        <v>0</v>
      </c>
      <c r="AW91" s="310"/>
      <c r="AX91" s="310">
        <f t="shared" si="147"/>
        <v>0</v>
      </c>
      <c r="AY91" s="308"/>
      <c r="AZ91" s="309">
        <f t="shared" si="148"/>
        <v>0</v>
      </c>
      <c r="BA91" s="306"/>
      <c r="BB91" s="312">
        <f t="shared" si="149"/>
        <v>0</v>
      </c>
      <c r="BC91" s="308"/>
      <c r="BD91" s="308">
        <f t="shared" si="150"/>
        <v>0</v>
      </c>
      <c r="BE91" s="310"/>
      <c r="BF91" s="311">
        <f t="shared" si="151"/>
        <v>0</v>
      </c>
      <c r="BG91" s="306"/>
      <c r="BH91" s="312">
        <f t="shared" si="152"/>
        <v>0</v>
      </c>
      <c r="BI91" s="308"/>
      <c r="BJ91" s="308">
        <f t="shared" si="153"/>
        <v>0</v>
      </c>
      <c r="BK91" s="310"/>
      <c r="BL91" s="311">
        <f t="shared" si="154"/>
        <v>0</v>
      </c>
    </row>
    <row r="92" spans="2:64" s="188" customFormat="1" ht="37" customHeight="1" x14ac:dyDescent="0.35">
      <c r="B92" s="300" t="str">
        <f>IF(ISBLANK($E92)," ",IF(AND(COUNTA(E$83:$E92)+64&gt;72,COUNTA(E$83:$E92)+64&lt;78),CHAR(COUNTA(E$83:$E92)+65),IF(COUNTA(E$83:$E92)+64&gt;77,CHAR(COUNTA(E$83:$E92)+66),CHAR(COUNTA(E$83:$E92)+64))))</f>
        <v xml:space="preserve"> </v>
      </c>
      <c r="C92" s="301" t="s">
        <v>179</v>
      </c>
      <c r="D92" s="302"/>
      <c r="E92" s="303"/>
      <c r="F92" s="304"/>
      <c r="G92" s="305"/>
      <c r="H92" s="306">
        <f t="shared" ref="H92:H95" si="155">D92*G92</f>
        <v>0</v>
      </c>
      <c r="I92" s="307"/>
      <c r="J92" s="308"/>
      <c r="K92" s="308"/>
      <c r="L92" s="308"/>
      <c r="M92" s="308"/>
      <c r="N92" s="309"/>
      <c r="O92" s="310"/>
      <c r="P92" s="311"/>
      <c r="Q92" s="310"/>
      <c r="R92" s="311"/>
      <c r="S92" s="310"/>
      <c r="T92" s="311"/>
      <c r="U92" s="306"/>
      <c r="V92" s="307"/>
      <c r="W92" s="308"/>
      <c r="X92" s="307"/>
      <c r="Y92" s="308"/>
      <c r="Z92" s="307"/>
      <c r="AA92" s="308"/>
      <c r="AB92" s="307"/>
      <c r="AC92" s="308"/>
      <c r="AD92" s="313"/>
      <c r="AE92" s="311"/>
      <c r="AF92" s="306"/>
      <c r="AG92" s="314"/>
      <c r="AH92" s="312"/>
      <c r="AI92" s="310"/>
      <c r="AJ92" s="311"/>
      <c r="AK92" s="306"/>
      <c r="AL92" s="308"/>
      <c r="AM92" s="307"/>
      <c r="AN92" s="308"/>
      <c r="AO92" s="308"/>
      <c r="AP92" s="308"/>
      <c r="AQ92" s="308"/>
      <c r="AR92" s="308"/>
      <c r="AS92" s="310"/>
      <c r="AT92" s="311"/>
      <c r="AU92" s="306"/>
      <c r="AV92" s="312"/>
      <c r="AW92" s="310"/>
      <c r="AX92" s="310"/>
      <c r="AY92" s="308"/>
      <c r="AZ92" s="309"/>
      <c r="BA92" s="306"/>
      <c r="BB92" s="312"/>
      <c r="BC92" s="308"/>
      <c r="BD92" s="308"/>
      <c r="BE92" s="310"/>
      <c r="BF92" s="311"/>
      <c r="BG92" s="306"/>
      <c r="BH92" s="312"/>
      <c r="BI92" s="308"/>
      <c r="BJ92" s="308"/>
      <c r="BK92" s="310"/>
      <c r="BL92" s="311"/>
    </row>
    <row r="93" spans="2:64" s="188" customFormat="1" ht="37" customHeight="1" x14ac:dyDescent="0.35">
      <c r="B93" s="300" t="str">
        <f>IF(ISBLANK($E93)," ",IF(AND(COUNTA(E$83:$E93)+64&gt;72,COUNTA(E$83:$E93)+64&lt;78),CHAR(COUNTA(E$83:$E93)+65),IF(COUNTA(E$83:$E93)+64&gt;77,CHAR(COUNTA(E$83:$E93)+66),CHAR(COUNTA(E$83:$E93)+64))))</f>
        <v>J</v>
      </c>
      <c r="C93" s="315" t="s">
        <v>180</v>
      </c>
      <c r="D93" s="302" t="s">
        <v>135</v>
      </c>
      <c r="E93" s="303">
        <v>200</v>
      </c>
      <c r="F93" s="304">
        <v>36</v>
      </c>
      <c r="G93" s="305">
        <v>7200</v>
      </c>
      <c r="H93" s="306">
        <v>41</v>
      </c>
      <c r="I93" s="307">
        <v>200</v>
      </c>
      <c r="J93" s="308">
        <f t="shared" ref="J93:J94" si="156">H93*$I93</f>
        <v>8200</v>
      </c>
      <c r="K93" s="308"/>
      <c r="L93" s="308">
        <f>K93*$E93</f>
        <v>0</v>
      </c>
      <c r="M93" s="308"/>
      <c r="N93" s="309">
        <f>M93*$E93</f>
        <v>0</v>
      </c>
      <c r="O93" s="310"/>
      <c r="P93" s="311">
        <f>O93*$E93</f>
        <v>0</v>
      </c>
      <c r="Q93" s="310">
        <v>74</v>
      </c>
      <c r="R93" s="311">
        <f>Q93*$E93</f>
        <v>14800</v>
      </c>
      <c r="S93" s="310"/>
      <c r="T93" s="311">
        <f>S93*$E93</f>
        <v>0</v>
      </c>
      <c r="U93" s="306">
        <v>45</v>
      </c>
      <c r="V93" s="307">
        <v>200</v>
      </c>
      <c r="W93" s="308">
        <f t="shared" ref="W93:W94" si="157">U93*$V93</f>
        <v>9000</v>
      </c>
      <c r="X93" s="307"/>
      <c r="Y93" s="308">
        <f>X93*$E93</f>
        <v>0</v>
      </c>
      <c r="Z93" s="307"/>
      <c r="AA93" s="308">
        <f>Z93*$E93</f>
        <v>0</v>
      </c>
      <c r="AB93" s="307"/>
      <c r="AC93" s="308">
        <f>AB93*$E93</f>
        <v>0</v>
      </c>
      <c r="AD93" s="313"/>
      <c r="AE93" s="311">
        <f>AD93*$E93</f>
        <v>0</v>
      </c>
      <c r="AF93" s="306">
        <v>60</v>
      </c>
      <c r="AG93" s="314">
        <v>200</v>
      </c>
      <c r="AH93" s="312">
        <f>AF93*$AG93</f>
        <v>12000</v>
      </c>
      <c r="AI93" s="310"/>
      <c r="AJ93" s="311">
        <f>AI93*$E93</f>
        <v>0</v>
      </c>
      <c r="AK93" s="306"/>
      <c r="AL93" s="308">
        <f>AK93*$E93</f>
        <v>0</v>
      </c>
      <c r="AM93" s="307"/>
      <c r="AN93" s="308">
        <f>AM93*$E93</f>
        <v>0</v>
      </c>
      <c r="AO93" s="308"/>
      <c r="AP93" s="308">
        <f>AO93*$E93</f>
        <v>0</v>
      </c>
      <c r="AQ93" s="308"/>
      <c r="AR93" s="308">
        <f>AQ93*$E93</f>
        <v>0</v>
      </c>
      <c r="AS93" s="310"/>
      <c r="AT93" s="311">
        <f>AS93*$E93</f>
        <v>0</v>
      </c>
      <c r="AU93" s="306"/>
      <c r="AV93" s="312">
        <f>AU93*$E93</f>
        <v>0</v>
      </c>
      <c r="AW93" s="310"/>
      <c r="AX93" s="310">
        <f>AW93*$E93</f>
        <v>0</v>
      </c>
      <c r="AY93" s="308"/>
      <c r="AZ93" s="309">
        <f>AY93*$E93</f>
        <v>0</v>
      </c>
      <c r="BA93" s="306"/>
      <c r="BB93" s="312">
        <f>BA93*$E93</f>
        <v>0</v>
      </c>
      <c r="BC93" s="308"/>
      <c r="BD93" s="308">
        <f>BC93*$E93</f>
        <v>0</v>
      </c>
      <c r="BE93" s="310"/>
      <c r="BF93" s="311">
        <f>BE93*$E93</f>
        <v>0</v>
      </c>
      <c r="BG93" s="306"/>
      <c r="BH93" s="312">
        <f>BG93*$E93</f>
        <v>0</v>
      </c>
      <c r="BI93" s="308"/>
      <c r="BJ93" s="308">
        <f>BI93*$E93</f>
        <v>0</v>
      </c>
      <c r="BK93" s="310"/>
      <c r="BL93" s="311">
        <f>BK93*$E93</f>
        <v>0</v>
      </c>
    </row>
    <row r="94" spans="2:64" s="188" customFormat="1" ht="37" customHeight="1" x14ac:dyDescent="0.35">
      <c r="B94" s="300" t="str">
        <f>IF(ISBLANK($E94)," ",IF(AND(COUNTA(E$83:$E94)+64&gt;72,COUNTA(E$83:$E94)+64&lt;78),CHAR(COUNTA(E$83:$E94)+65),IF(COUNTA(E$83:$E94)+64&gt;77,CHAR(COUNTA(E$83:$E94)+66),CHAR(COUNTA(E$83:$E94)+64))))</f>
        <v>K</v>
      </c>
      <c r="C94" s="315" t="s">
        <v>181</v>
      </c>
      <c r="D94" s="302" t="s">
        <v>135</v>
      </c>
      <c r="E94" s="303">
        <v>31</v>
      </c>
      <c r="F94" s="304">
        <v>57.6</v>
      </c>
      <c r="G94" s="305">
        <v>1785.6000000000001</v>
      </c>
      <c r="H94" s="306">
        <v>68</v>
      </c>
      <c r="I94" s="307">
        <v>31</v>
      </c>
      <c r="J94" s="308">
        <f t="shared" si="156"/>
        <v>2108</v>
      </c>
      <c r="K94" s="308"/>
      <c r="L94" s="308">
        <f>K94*$E94</f>
        <v>0</v>
      </c>
      <c r="M94" s="308"/>
      <c r="N94" s="309">
        <f>M94*$E94</f>
        <v>0</v>
      </c>
      <c r="O94" s="310"/>
      <c r="P94" s="311">
        <f>O94*$E94</f>
        <v>0</v>
      </c>
      <c r="Q94" s="310">
        <v>81</v>
      </c>
      <c r="R94" s="311">
        <f>Q94*$E94</f>
        <v>2511</v>
      </c>
      <c r="S94" s="310"/>
      <c r="T94" s="311">
        <f>S94*$E94</f>
        <v>0</v>
      </c>
      <c r="U94" s="306">
        <v>72</v>
      </c>
      <c r="V94" s="307">
        <v>31</v>
      </c>
      <c r="W94" s="308">
        <f t="shared" si="157"/>
        <v>2232</v>
      </c>
      <c r="X94" s="307"/>
      <c r="Y94" s="308">
        <f>X94*$E94</f>
        <v>0</v>
      </c>
      <c r="Z94" s="307"/>
      <c r="AA94" s="308">
        <f>Z94*$E94</f>
        <v>0</v>
      </c>
      <c r="AB94" s="307"/>
      <c r="AC94" s="308">
        <f>AB94*$E94</f>
        <v>0</v>
      </c>
      <c r="AD94" s="313"/>
      <c r="AE94" s="311">
        <f>AD94*$E94</f>
        <v>0</v>
      </c>
      <c r="AF94" s="306">
        <v>60</v>
      </c>
      <c r="AG94" s="314">
        <v>31</v>
      </c>
      <c r="AH94" s="312">
        <f>AF94*$AG94</f>
        <v>1860</v>
      </c>
      <c r="AI94" s="310"/>
      <c r="AJ94" s="311">
        <f>AI94*$E94</f>
        <v>0</v>
      </c>
      <c r="AK94" s="306"/>
      <c r="AL94" s="308">
        <f>AK94*$E94</f>
        <v>0</v>
      </c>
      <c r="AM94" s="307"/>
      <c r="AN94" s="308">
        <f>AM94*$E94</f>
        <v>0</v>
      </c>
      <c r="AO94" s="308"/>
      <c r="AP94" s="308">
        <f>AO94*$E94</f>
        <v>0</v>
      </c>
      <c r="AQ94" s="308"/>
      <c r="AR94" s="308">
        <f>AQ94*$E94</f>
        <v>0</v>
      </c>
      <c r="AS94" s="310"/>
      <c r="AT94" s="311">
        <f>AS94*$E94</f>
        <v>0</v>
      </c>
      <c r="AU94" s="306"/>
      <c r="AV94" s="312">
        <f>AU94*$E94</f>
        <v>0</v>
      </c>
      <c r="AW94" s="310"/>
      <c r="AX94" s="310">
        <f>AW94*$E94</f>
        <v>0</v>
      </c>
      <c r="AY94" s="308"/>
      <c r="AZ94" s="309">
        <f>AY94*$E94</f>
        <v>0</v>
      </c>
      <c r="BA94" s="306"/>
      <c r="BB94" s="312">
        <f>BA94*$E94</f>
        <v>0</v>
      </c>
      <c r="BC94" s="308"/>
      <c r="BD94" s="308">
        <f>BC94*$E94</f>
        <v>0</v>
      </c>
      <c r="BE94" s="310"/>
      <c r="BF94" s="311">
        <f>BE94*$E94</f>
        <v>0</v>
      </c>
      <c r="BG94" s="306"/>
      <c r="BH94" s="312">
        <f>BG94*$E94</f>
        <v>0</v>
      </c>
      <c r="BI94" s="308"/>
      <c r="BJ94" s="308">
        <f>BI94*$E94</f>
        <v>0</v>
      </c>
      <c r="BK94" s="310"/>
      <c r="BL94" s="311">
        <f>BK94*$E94</f>
        <v>0</v>
      </c>
    </row>
    <row r="95" spans="2:64" s="188" customFormat="1" ht="37" customHeight="1" x14ac:dyDescent="0.35">
      <c r="B95" s="300" t="str">
        <f>IF(ISBLANK($E95)," ",IF(AND(COUNTA(E$83:$E95)+64&gt;72,COUNTA(E$83:$E95)+64&lt;78),CHAR(COUNTA(E$83:$E95)+65),IF(COUNTA(E$83:$E95)+64&gt;77,CHAR(COUNTA(E$83:$E95)+66),CHAR(COUNTA(E$83:$E95)+64))))</f>
        <v xml:space="preserve"> </v>
      </c>
      <c r="C95" s="301" t="s">
        <v>182</v>
      </c>
      <c r="D95" s="302"/>
      <c r="E95" s="303"/>
      <c r="F95" s="304"/>
      <c r="G95" s="305"/>
      <c r="H95" s="306">
        <f t="shared" si="155"/>
        <v>0</v>
      </c>
      <c r="I95" s="307"/>
      <c r="J95" s="308"/>
      <c r="K95" s="308"/>
      <c r="L95" s="308"/>
      <c r="M95" s="308"/>
      <c r="N95" s="309"/>
      <c r="O95" s="310"/>
      <c r="P95" s="311"/>
      <c r="Q95" s="310"/>
      <c r="R95" s="311"/>
      <c r="S95" s="310"/>
      <c r="T95" s="311"/>
      <c r="U95" s="306"/>
      <c r="V95" s="307"/>
      <c r="W95" s="308"/>
      <c r="X95" s="307"/>
      <c r="Y95" s="308"/>
      <c r="Z95" s="307"/>
      <c r="AA95" s="308"/>
      <c r="AB95" s="307"/>
      <c r="AC95" s="308"/>
      <c r="AD95" s="313"/>
      <c r="AE95" s="311"/>
      <c r="AF95" s="306"/>
      <c r="AG95" s="314"/>
      <c r="AH95" s="312"/>
      <c r="AI95" s="310"/>
      <c r="AJ95" s="311"/>
      <c r="AK95" s="306"/>
      <c r="AL95" s="308"/>
      <c r="AM95" s="307"/>
      <c r="AN95" s="308"/>
      <c r="AO95" s="308"/>
      <c r="AP95" s="308"/>
      <c r="AQ95" s="308"/>
      <c r="AR95" s="308"/>
      <c r="AS95" s="310"/>
      <c r="AT95" s="311"/>
      <c r="AU95" s="306"/>
      <c r="AV95" s="312"/>
      <c r="AW95" s="310"/>
      <c r="AX95" s="310"/>
      <c r="AY95" s="308"/>
      <c r="AZ95" s="309"/>
      <c r="BA95" s="306"/>
      <c r="BB95" s="312"/>
      <c r="BC95" s="308"/>
      <c r="BD95" s="308"/>
      <c r="BE95" s="310"/>
      <c r="BF95" s="311"/>
      <c r="BG95" s="306"/>
      <c r="BH95" s="312"/>
      <c r="BI95" s="308"/>
      <c r="BJ95" s="308"/>
      <c r="BK95" s="310"/>
      <c r="BL95" s="311"/>
    </row>
    <row r="96" spans="2:64" s="188" customFormat="1" ht="37" customHeight="1" x14ac:dyDescent="0.35">
      <c r="B96" s="300" t="str">
        <f>IF(ISBLANK($E96)," ",IF(AND(COUNTA(E$83:$E96)+64&gt;72,COUNTA(E$83:$E96)+64&lt;78),CHAR(COUNTA(E$83:$E96)+65),IF(COUNTA(E$83:$E96)+64&gt;77,CHAR(COUNTA(E$83:$E96)+66),CHAR(COUNTA(E$83:$E96)+64))))</f>
        <v>L</v>
      </c>
      <c r="C96" s="315" t="s">
        <v>183</v>
      </c>
      <c r="D96" s="302" t="s">
        <v>135</v>
      </c>
      <c r="E96" s="303">
        <v>113</v>
      </c>
      <c r="F96" s="304">
        <v>53.1</v>
      </c>
      <c r="G96" s="305">
        <v>4035.6</v>
      </c>
      <c r="H96" s="306">
        <v>74</v>
      </c>
      <c r="I96" s="307">
        <v>113</v>
      </c>
      <c r="J96" s="308">
        <f t="shared" ref="J96:J97" si="158">H96*$I96</f>
        <v>8362</v>
      </c>
      <c r="K96" s="308"/>
      <c r="L96" s="308">
        <f>K96*$E96</f>
        <v>0</v>
      </c>
      <c r="M96" s="308"/>
      <c r="N96" s="309">
        <f>M96*$E96</f>
        <v>0</v>
      </c>
      <c r="O96" s="310"/>
      <c r="P96" s="311">
        <f>O96*$E96</f>
        <v>0</v>
      </c>
      <c r="Q96" s="310">
        <v>124</v>
      </c>
      <c r="R96" s="311">
        <f>Q96*$E96</f>
        <v>14012</v>
      </c>
      <c r="S96" s="310"/>
      <c r="T96" s="311">
        <f>S96*$E96</f>
        <v>0</v>
      </c>
      <c r="U96" s="306">
        <v>76</v>
      </c>
      <c r="V96" s="307">
        <v>86</v>
      </c>
      <c r="W96" s="308">
        <f t="shared" ref="W96:W97" si="159">U96*$V96</f>
        <v>6536</v>
      </c>
      <c r="X96" s="307"/>
      <c r="Y96" s="308">
        <f>X96*$E96</f>
        <v>0</v>
      </c>
      <c r="Z96" s="307"/>
      <c r="AA96" s="308">
        <f>Z96*$E96</f>
        <v>0</v>
      </c>
      <c r="AB96" s="307"/>
      <c r="AC96" s="308">
        <f>AB96*$E96</f>
        <v>0</v>
      </c>
      <c r="AD96" s="313"/>
      <c r="AE96" s="311">
        <f>AD96*$E96</f>
        <v>0</v>
      </c>
      <c r="AF96" s="306">
        <v>52</v>
      </c>
      <c r="AG96" s="314">
        <v>113</v>
      </c>
      <c r="AH96" s="312">
        <f>AF96*$AG96</f>
        <v>5876</v>
      </c>
      <c r="AI96" s="310"/>
      <c r="AJ96" s="311">
        <f>AI96*$E96</f>
        <v>0</v>
      </c>
      <c r="AK96" s="306"/>
      <c r="AL96" s="308">
        <f>AK96*$E96</f>
        <v>0</v>
      </c>
      <c r="AM96" s="307"/>
      <c r="AN96" s="308">
        <f>AM96*$E96</f>
        <v>0</v>
      </c>
      <c r="AO96" s="308"/>
      <c r="AP96" s="308">
        <f>AO96*$E96</f>
        <v>0</v>
      </c>
      <c r="AQ96" s="308"/>
      <c r="AR96" s="308">
        <f>AQ96*$E96</f>
        <v>0</v>
      </c>
      <c r="AS96" s="310"/>
      <c r="AT96" s="311">
        <f>AS96*$E96</f>
        <v>0</v>
      </c>
      <c r="AU96" s="306"/>
      <c r="AV96" s="312">
        <f>AU96*$E96</f>
        <v>0</v>
      </c>
      <c r="AW96" s="310"/>
      <c r="AX96" s="310">
        <f>AW96*$E96</f>
        <v>0</v>
      </c>
      <c r="AY96" s="308"/>
      <c r="AZ96" s="309">
        <f>AY96*$E96</f>
        <v>0</v>
      </c>
      <c r="BA96" s="306"/>
      <c r="BB96" s="312">
        <f>BA96*$E96</f>
        <v>0</v>
      </c>
      <c r="BC96" s="308"/>
      <c r="BD96" s="308">
        <f>BC96*$E96</f>
        <v>0</v>
      </c>
      <c r="BE96" s="310"/>
      <c r="BF96" s="311">
        <f>BE96*$E96</f>
        <v>0</v>
      </c>
      <c r="BG96" s="306"/>
      <c r="BH96" s="312">
        <f>BG96*$E96</f>
        <v>0</v>
      </c>
      <c r="BI96" s="308"/>
      <c r="BJ96" s="308">
        <f>BI96*$E96</f>
        <v>0</v>
      </c>
      <c r="BK96" s="310"/>
      <c r="BL96" s="311">
        <f>BK96*$E96</f>
        <v>0</v>
      </c>
    </row>
    <row r="97" spans="2:64" s="188" customFormat="1" ht="37" customHeight="1" x14ac:dyDescent="0.35">
      <c r="B97" s="300" t="str">
        <f>IF(ISBLANK($E97)," ",IF(AND(COUNTA(E$83:$E97)+64&gt;72,COUNTA(E$83:$E97)+64&lt;78),CHAR(COUNTA(E$83:$E97)+65),IF(COUNTA(E$83:$E97)+64&gt;77,CHAR(COUNTA(E$83:$E97)+66),CHAR(COUNTA(E$83:$E97)+64))))</f>
        <v>M</v>
      </c>
      <c r="C97" s="315" t="s">
        <v>184</v>
      </c>
      <c r="D97" s="302" t="s">
        <v>103</v>
      </c>
      <c r="E97" s="303">
        <v>303.2</v>
      </c>
      <c r="F97" s="304">
        <v>118.8</v>
      </c>
      <c r="G97" s="305">
        <v>51440.4</v>
      </c>
      <c r="H97" s="306">
        <v>142</v>
      </c>
      <c r="I97" s="327">
        <v>303</v>
      </c>
      <c r="J97" s="308">
        <f t="shared" si="158"/>
        <v>43026</v>
      </c>
      <c r="K97" s="308"/>
      <c r="L97" s="308">
        <f>K97*$E97</f>
        <v>0</v>
      </c>
      <c r="M97" s="308"/>
      <c r="N97" s="309">
        <f>M97*$E97</f>
        <v>0</v>
      </c>
      <c r="O97" s="310"/>
      <c r="P97" s="311">
        <f>O97*$E97</f>
        <v>0</v>
      </c>
      <c r="Q97" s="310">
        <v>124</v>
      </c>
      <c r="R97" s="311">
        <f>Q97*$E97</f>
        <v>37596.799999999996</v>
      </c>
      <c r="S97" s="310"/>
      <c r="T97" s="311">
        <f>S97*$E97</f>
        <v>0</v>
      </c>
      <c r="U97" s="306">
        <v>149</v>
      </c>
      <c r="V97" s="307">
        <v>433</v>
      </c>
      <c r="W97" s="308">
        <f t="shared" si="159"/>
        <v>64517</v>
      </c>
      <c r="X97" s="307"/>
      <c r="Y97" s="308">
        <f>X97*$E97</f>
        <v>0</v>
      </c>
      <c r="Z97" s="307"/>
      <c r="AA97" s="308">
        <f>Z97*$E97</f>
        <v>0</v>
      </c>
      <c r="AB97" s="307"/>
      <c r="AC97" s="308">
        <f>AB97*$E97</f>
        <v>0</v>
      </c>
      <c r="AD97" s="313"/>
      <c r="AE97" s="311">
        <f>AD97*$E97</f>
        <v>0</v>
      </c>
      <c r="AF97" s="306"/>
      <c r="AG97" s="314">
        <v>303.2</v>
      </c>
      <c r="AH97" s="312">
        <f>AF97*$AG97</f>
        <v>0</v>
      </c>
      <c r="AI97" s="310"/>
      <c r="AJ97" s="311">
        <f>AI97*$E97</f>
        <v>0</v>
      </c>
      <c r="AK97" s="306"/>
      <c r="AL97" s="308">
        <f>AK97*$E97</f>
        <v>0</v>
      </c>
      <c r="AM97" s="307"/>
      <c r="AN97" s="308">
        <f>AM97*$E97</f>
        <v>0</v>
      </c>
      <c r="AO97" s="308"/>
      <c r="AP97" s="308">
        <f>AO97*$E97</f>
        <v>0</v>
      </c>
      <c r="AQ97" s="308"/>
      <c r="AR97" s="308">
        <f>AQ97*$E97</f>
        <v>0</v>
      </c>
      <c r="AS97" s="310"/>
      <c r="AT97" s="311">
        <f>AS97*$E97</f>
        <v>0</v>
      </c>
      <c r="AU97" s="306"/>
      <c r="AV97" s="312">
        <f>AU97*$E97</f>
        <v>0</v>
      </c>
      <c r="AW97" s="310"/>
      <c r="AX97" s="310">
        <f>AW97*$E97</f>
        <v>0</v>
      </c>
      <c r="AY97" s="308"/>
      <c r="AZ97" s="309">
        <f>AY97*$E97</f>
        <v>0</v>
      </c>
      <c r="BA97" s="306"/>
      <c r="BB97" s="312">
        <f>BA97*$E97</f>
        <v>0</v>
      </c>
      <c r="BC97" s="308"/>
      <c r="BD97" s="308">
        <f>BC97*$E97</f>
        <v>0</v>
      </c>
      <c r="BE97" s="310"/>
      <c r="BF97" s="311">
        <f>BE97*$E97</f>
        <v>0</v>
      </c>
      <c r="BG97" s="306"/>
      <c r="BH97" s="312">
        <f>BG97*$E97</f>
        <v>0</v>
      </c>
      <c r="BI97" s="308"/>
      <c r="BJ97" s="308">
        <f>BI97*$E97</f>
        <v>0</v>
      </c>
      <c r="BK97" s="310"/>
      <c r="BL97" s="311">
        <f>BK97*$E97</f>
        <v>0</v>
      </c>
    </row>
    <row r="98" spans="2:64" s="188" customFormat="1" ht="32.25" customHeight="1" x14ac:dyDescent="0.35">
      <c r="B98" s="290"/>
      <c r="C98" s="291" t="s">
        <v>185</v>
      </c>
      <c r="D98" s="290"/>
      <c r="E98" s="292"/>
      <c r="F98" s="293"/>
      <c r="G98" s="294"/>
      <c r="H98" s="295"/>
      <c r="I98" s="296"/>
      <c r="J98" s="297"/>
      <c r="K98" s="297"/>
      <c r="L98" s="297"/>
      <c r="M98" s="297"/>
      <c r="N98" s="298"/>
      <c r="O98" s="297"/>
      <c r="P98" s="298"/>
      <c r="Q98" s="297"/>
      <c r="R98" s="298"/>
      <c r="S98" s="297"/>
      <c r="T98" s="298"/>
      <c r="U98" s="295"/>
      <c r="V98" s="296"/>
      <c r="W98" s="297"/>
      <c r="X98" s="294"/>
      <c r="Y98" s="297"/>
      <c r="Z98" s="294"/>
      <c r="AA98" s="297"/>
      <c r="AB98" s="294"/>
      <c r="AC98" s="297"/>
      <c r="AD98" s="294"/>
      <c r="AE98" s="298"/>
      <c r="AF98" s="295"/>
      <c r="AG98" s="299"/>
      <c r="AH98" s="294"/>
      <c r="AI98" s="297"/>
      <c r="AJ98" s="298"/>
      <c r="AK98" s="295"/>
      <c r="AL98" s="297"/>
      <c r="AM98" s="296"/>
      <c r="AN98" s="297"/>
      <c r="AO98" s="297"/>
      <c r="AP98" s="297"/>
      <c r="AQ98" s="297"/>
      <c r="AR98" s="297"/>
      <c r="AS98" s="297"/>
      <c r="AT98" s="298"/>
      <c r="AU98" s="295"/>
      <c r="AV98" s="294"/>
      <c r="AW98" s="297"/>
      <c r="AX98" s="294"/>
      <c r="AY98" s="297"/>
      <c r="AZ98" s="298"/>
      <c r="BA98" s="295"/>
      <c r="BB98" s="294"/>
      <c r="BC98" s="296"/>
      <c r="BD98" s="294"/>
      <c r="BE98" s="297"/>
      <c r="BF98" s="298"/>
      <c r="BG98" s="295"/>
      <c r="BH98" s="294"/>
      <c r="BI98" s="297"/>
      <c r="BJ98" s="294"/>
      <c r="BK98" s="297" t="s">
        <v>97</v>
      </c>
      <c r="BL98" s="298"/>
    </row>
    <row r="99" spans="2:64" s="188" customFormat="1" ht="37" customHeight="1" x14ac:dyDescent="0.35">
      <c r="B99" s="300"/>
      <c r="C99" s="301" t="s">
        <v>186</v>
      </c>
      <c r="D99" s="302"/>
      <c r="E99" s="303"/>
      <c r="F99" s="304"/>
      <c r="G99" s="305"/>
      <c r="H99" s="306"/>
      <c r="I99" s="307"/>
      <c r="J99" s="308"/>
      <c r="K99" s="308"/>
      <c r="L99" s="308"/>
      <c r="M99" s="308"/>
      <c r="N99" s="309"/>
      <c r="O99" s="310"/>
      <c r="P99" s="311"/>
      <c r="Q99" s="310"/>
      <c r="R99" s="311"/>
      <c r="S99" s="310"/>
      <c r="T99" s="311"/>
      <c r="U99" s="306"/>
      <c r="V99" s="307"/>
      <c r="W99" s="308"/>
      <c r="X99" s="307"/>
      <c r="Y99" s="308"/>
      <c r="Z99" s="307"/>
      <c r="AA99" s="308"/>
      <c r="AB99" s="307"/>
      <c r="AC99" s="308"/>
      <c r="AD99" s="313"/>
      <c r="AE99" s="311"/>
      <c r="AF99" s="306"/>
      <c r="AG99" s="314"/>
      <c r="AH99" s="312"/>
      <c r="AI99" s="310"/>
      <c r="AJ99" s="311"/>
      <c r="AK99" s="306"/>
      <c r="AL99" s="308"/>
      <c r="AM99" s="307"/>
      <c r="AN99" s="308"/>
      <c r="AO99" s="308"/>
      <c r="AP99" s="308"/>
      <c r="AQ99" s="308"/>
      <c r="AR99" s="308"/>
      <c r="AS99" s="310"/>
      <c r="AT99" s="311"/>
      <c r="AU99" s="306"/>
      <c r="AV99" s="312"/>
      <c r="AW99" s="310"/>
      <c r="AX99" s="310"/>
      <c r="AY99" s="308"/>
      <c r="AZ99" s="309"/>
      <c r="BA99" s="306"/>
      <c r="BB99" s="312"/>
      <c r="BC99" s="308"/>
      <c r="BD99" s="308"/>
      <c r="BE99" s="310"/>
      <c r="BF99" s="311"/>
      <c r="BG99" s="306"/>
      <c r="BH99" s="312"/>
      <c r="BI99" s="308"/>
      <c r="BJ99" s="308"/>
      <c r="BK99" s="310"/>
      <c r="BL99" s="311"/>
    </row>
    <row r="100" spans="2:64" s="188" customFormat="1" ht="37" customHeight="1" x14ac:dyDescent="0.35">
      <c r="B100" s="300" t="str">
        <f>IF(ISBLANK($E100)," ",IF(AND(COUNTA(E$97:$E100)+64&gt;72,COUNTA(E$97:$E100)+64&lt;78),CHAR(COUNTA(E$97:$E100)+65),IF(COUNTA(E$97:$E100)+64&gt;77,CHAR(COUNTA(E$97:$E100)+66),CHAR(COUNTA(E$97:$E100)+64))))</f>
        <v>B</v>
      </c>
      <c r="C100" s="315" t="s">
        <v>187</v>
      </c>
      <c r="D100" s="302" t="s">
        <v>135</v>
      </c>
      <c r="E100" s="303">
        <v>1</v>
      </c>
      <c r="F100" s="304">
        <v>43369.200000000004</v>
      </c>
      <c r="G100" s="305">
        <v>43369.200000000004</v>
      </c>
      <c r="H100" s="317"/>
      <c r="I100" s="318">
        <v>1</v>
      </c>
      <c r="J100" s="319">
        <f t="shared" ref="J100:J104" si="160">H100*$I100</f>
        <v>0</v>
      </c>
      <c r="K100" s="308"/>
      <c r="L100" s="308">
        <f t="shared" ref="L100:L103" si="161">K100*$E100</f>
        <v>0</v>
      </c>
      <c r="M100" s="308"/>
      <c r="N100" s="309">
        <f t="shared" ref="N100:N103" si="162">M100*$E100</f>
        <v>0</v>
      </c>
      <c r="O100" s="310"/>
      <c r="P100" s="311">
        <f t="shared" ref="P100:P103" si="163">O100*$E100</f>
        <v>0</v>
      </c>
      <c r="Q100" s="319"/>
      <c r="R100" s="343">
        <f t="shared" ref="R100:R103" si="164">Q100*$E100</f>
        <v>0</v>
      </c>
      <c r="S100" s="319"/>
      <c r="T100" s="343">
        <f t="shared" ref="T100:T103" si="165">S100*$E100</f>
        <v>0</v>
      </c>
      <c r="U100" s="306">
        <v>54701</v>
      </c>
      <c r="V100" s="307">
        <v>1</v>
      </c>
      <c r="W100" s="308">
        <f t="shared" ref="W100:W103" si="166">U100*$V100</f>
        <v>54701</v>
      </c>
      <c r="X100" s="307"/>
      <c r="Y100" s="308">
        <f t="shared" ref="Y100:Y103" si="167">X100*$E100</f>
        <v>0</v>
      </c>
      <c r="Z100" s="307"/>
      <c r="AA100" s="308">
        <f t="shared" ref="AA100:AA103" si="168">Z100*$E100</f>
        <v>0</v>
      </c>
      <c r="AB100" s="307"/>
      <c r="AC100" s="308">
        <f t="shared" ref="AC100:AC103" si="169">AB100*$E100</f>
        <v>0</v>
      </c>
      <c r="AD100" s="313"/>
      <c r="AE100" s="311">
        <f t="shared" ref="AE100:AE103" si="170">AD100*$E100</f>
        <v>0</v>
      </c>
      <c r="AF100" s="306">
        <v>3334</v>
      </c>
      <c r="AG100" s="314">
        <v>1</v>
      </c>
      <c r="AH100" s="312">
        <f t="shared" ref="AH100:AH104" si="171">AF100*$AG100</f>
        <v>3334</v>
      </c>
      <c r="AI100" s="310"/>
      <c r="AJ100" s="311">
        <f t="shared" ref="AJ100:AJ103" si="172">AI100*$E100</f>
        <v>0</v>
      </c>
      <c r="AK100" s="306"/>
      <c r="AL100" s="308">
        <f t="shared" ref="AL100:AL103" si="173">AK100*$E100</f>
        <v>0</v>
      </c>
      <c r="AM100" s="307"/>
      <c r="AN100" s="308">
        <f t="shared" ref="AN100:AN103" si="174">AM100*$E100</f>
        <v>0</v>
      </c>
      <c r="AO100" s="308"/>
      <c r="AP100" s="308">
        <f t="shared" ref="AP100:AP103" si="175">AO100*$E100</f>
        <v>0</v>
      </c>
      <c r="AQ100" s="308"/>
      <c r="AR100" s="308">
        <f t="shared" ref="AR100:AR103" si="176">AQ100*$E100</f>
        <v>0</v>
      </c>
      <c r="AS100" s="310"/>
      <c r="AT100" s="311">
        <f t="shared" ref="AT100:AT103" si="177">AS100*$E100</f>
        <v>0</v>
      </c>
      <c r="AU100" s="306"/>
      <c r="AV100" s="312">
        <f t="shared" ref="AV100:AV103" si="178">AU100*$E100</f>
        <v>0</v>
      </c>
      <c r="AW100" s="310"/>
      <c r="AX100" s="310">
        <f t="shared" ref="AX100:AX103" si="179">AW100*$E100</f>
        <v>0</v>
      </c>
      <c r="AY100" s="308"/>
      <c r="AZ100" s="309">
        <f t="shared" ref="AZ100:AZ103" si="180">AY100*$E100</f>
        <v>0</v>
      </c>
      <c r="BA100" s="306"/>
      <c r="BB100" s="312">
        <f t="shared" ref="BB100:BB103" si="181">BA100*$E100</f>
        <v>0</v>
      </c>
      <c r="BC100" s="308"/>
      <c r="BD100" s="308">
        <f t="shared" ref="BD100:BD103" si="182">BC100*$E100</f>
        <v>0</v>
      </c>
      <c r="BE100" s="310"/>
      <c r="BF100" s="311">
        <f t="shared" ref="BF100:BF103" si="183">BE100*$E100</f>
        <v>0</v>
      </c>
      <c r="BG100" s="306"/>
      <c r="BH100" s="312">
        <f t="shared" ref="BH100:BH103" si="184">BG100*$E100</f>
        <v>0</v>
      </c>
      <c r="BI100" s="308"/>
      <c r="BJ100" s="308">
        <f t="shared" ref="BJ100:BJ103" si="185">BI100*$E100</f>
        <v>0</v>
      </c>
      <c r="BK100" s="310"/>
      <c r="BL100" s="311">
        <f t="shared" ref="BL100:BL103" si="186">BK100*$E100</f>
        <v>0</v>
      </c>
    </row>
    <row r="101" spans="2:64" s="188" customFormat="1" ht="37" customHeight="1" x14ac:dyDescent="0.35">
      <c r="B101" s="300" t="str">
        <f>IF(ISBLANK($E101)," ",IF(AND(COUNTA(E$97:$E101)+64&gt;72,COUNTA(E$97:$E101)+64&lt;78),CHAR(COUNTA(E$97:$E101)+65),IF(COUNTA(E$97:$E101)+64&gt;77,CHAR(COUNTA(E$97:$E101)+66),CHAR(COUNTA(E$97:$E101)+64))))</f>
        <v>C</v>
      </c>
      <c r="C101" s="315" t="s">
        <v>188</v>
      </c>
      <c r="D101" s="302" t="s">
        <v>135</v>
      </c>
      <c r="E101" s="303">
        <v>8</v>
      </c>
      <c r="F101" s="304">
        <v>3787.2000000000003</v>
      </c>
      <c r="G101" s="305">
        <v>37872</v>
      </c>
      <c r="H101" s="317"/>
      <c r="I101" s="318">
        <v>8</v>
      </c>
      <c r="J101" s="319">
        <f t="shared" si="160"/>
        <v>0</v>
      </c>
      <c r="K101" s="308"/>
      <c r="L101" s="308">
        <f t="shared" si="161"/>
        <v>0</v>
      </c>
      <c r="M101" s="308"/>
      <c r="N101" s="309">
        <f t="shared" si="162"/>
        <v>0</v>
      </c>
      <c r="O101" s="310"/>
      <c r="P101" s="311">
        <f t="shared" si="163"/>
        <v>0</v>
      </c>
      <c r="Q101" s="319"/>
      <c r="R101" s="343">
        <f t="shared" si="164"/>
        <v>0</v>
      </c>
      <c r="S101" s="319"/>
      <c r="T101" s="343">
        <f t="shared" si="165"/>
        <v>0</v>
      </c>
      <c r="U101" s="306">
        <v>4776</v>
      </c>
      <c r="V101" s="307">
        <v>10</v>
      </c>
      <c r="W101" s="308">
        <f t="shared" si="166"/>
        <v>47760</v>
      </c>
      <c r="X101" s="307"/>
      <c r="Y101" s="308">
        <f t="shared" si="167"/>
        <v>0</v>
      </c>
      <c r="Z101" s="307"/>
      <c r="AA101" s="308">
        <f t="shared" si="168"/>
        <v>0</v>
      </c>
      <c r="AB101" s="307"/>
      <c r="AC101" s="308">
        <f t="shared" si="169"/>
        <v>0</v>
      </c>
      <c r="AD101" s="313"/>
      <c r="AE101" s="311">
        <f t="shared" si="170"/>
        <v>0</v>
      </c>
      <c r="AF101" s="306">
        <v>4000</v>
      </c>
      <c r="AG101" s="314">
        <v>8</v>
      </c>
      <c r="AH101" s="312">
        <f t="shared" si="171"/>
        <v>32000</v>
      </c>
      <c r="AI101" s="310"/>
      <c r="AJ101" s="311">
        <f t="shared" si="172"/>
        <v>0</v>
      </c>
      <c r="AK101" s="306"/>
      <c r="AL101" s="308">
        <f t="shared" si="173"/>
        <v>0</v>
      </c>
      <c r="AM101" s="307"/>
      <c r="AN101" s="308">
        <f t="shared" si="174"/>
        <v>0</v>
      </c>
      <c r="AO101" s="308"/>
      <c r="AP101" s="308">
        <f t="shared" si="175"/>
        <v>0</v>
      </c>
      <c r="AQ101" s="308"/>
      <c r="AR101" s="308">
        <f t="shared" si="176"/>
        <v>0</v>
      </c>
      <c r="AS101" s="310"/>
      <c r="AT101" s="311">
        <f t="shared" si="177"/>
        <v>0</v>
      </c>
      <c r="AU101" s="306"/>
      <c r="AV101" s="312">
        <f t="shared" si="178"/>
        <v>0</v>
      </c>
      <c r="AW101" s="310"/>
      <c r="AX101" s="310">
        <f t="shared" si="179"/>
        <v>0</v>
      </c>
      <c r="AY101" s="308"/>
      <c r="AZ101" s="309">
        <f t="shared" si="180"/>
        <v>0</v>
      </c>
      <c r="BA101" s="306"/>
      <c r="BB101" s="312">
        <f t="shared" si="181"/>
        <v>0</v>
      </c>
      <c r="BC101" s="308"/>
      <c r="BD101" s="308">
        <f t="shared" si="182"/>
        <v>0</v>
      </c>
      <c r="BE101" s="310"/>
      <c r="BF101" s="311">
        <f t="shared" si="183"/>
        <v>0</v>
      </c>
      <c r="BG101" s="306"/>
      <c r="BH101" s="312">
        <f t="shared" si="184"/>
        <v>0</v>
      </c>
      <c r="BI101" s="308"/>
      <c r="BJ101" s="308">
        <f t="shared" si="185"/>
        <v>0</v>
      </c>
      <c r="BK101" s="310"/>
      <c r="BL101" s="311">
        <f t="shared" si="186"/>
        <v>0</v>
      </c>
    </row>
    <row r="102" spans="2:64" s="188" customFormat="1" ht="37" customHeight="1" x14ac:dyDescent="0.35">
      <c r="B102" s="300" t="str">
        <f>IF(ISBLANK($E102)," ",IF(AND(COUNTA(E$97:$E102)+64&gt;72,COUNTA(E$97:$E102)+64&lt;78),CHAR(COUNTA(E$97:$E102)+65),IF(COUNTA(E$97:$E102)+64&gt;77,CHAR(COUNTA(E$97:$E102)+66),CHAR(COUNTA(E$97:$E102)+64))))</f>
        <v>D</v>
      </c>
      <c r="C102" s="315" t="s">
        <v>189</v>
      </c>
      <c r="D102" s="302" t="s">
        <v>135</v>
      </c>
      <c r="E102" s="303">
        <v>19</v>
      </c>
      <c r="F102" s="304">
        <v>3787.2000000000003</v>
      </c>
      <c r="G102" s="305">
        <v>71956.800000000003</v>
      </c>
      <c r="H102" s="317"/>
      <c r="I102" s="318">
        <v>19</v>
      </c>
      <c r="J102" s="319">
        <f t="shared" si="160"/>
        <v>0</v>
      </c>
      <c r="K102" s="308"/>
      <c r="L102" s="308">
        <f t="shared" si="161"/>
        <v>0</v>
      </c>
      <c r="M102" s="308"/>
      <c r="N102" s="309">
        <f t="shared" si="162"/>
        <v>0</v>
      </c>
      <c r="O102" s="310"/>
      <c r="P102" s="311">
        <f t="shared" si="163"/>
        <v>0</v>
      </c>
      <c r="Q102" s="319"/>
      <c r="R102" s="343">
        <f t="shared" si="164"/>
        <v>0</v>
      </c>
      <c r="S102" s="319"/>
      <c r="T102" s="343">
        <f t="shared" si="165"/>
        <v>0</v>
      </c>
      <c r="U102" s="306">
        <v>4776</v>
      </c>
      <c r="V102" s="307">
        <v>19</v>
      </c>
      <c r="W102" s="308">
        <f t="shared" si="166"/>
        <v>90744</v>
      </c>
      <c r="X102" s="307"/>
      <c r="Y102" s="308">
        <f t="shared" si="167"/>
        <v>0</v>
      </c>
      <c r="Z102" s="307"/>
      <c r="AA102" s="308">
        <f t="shared" si="168"/>
        <v>0</v>
      </c>
      <c r="AB102" s="307"/>
      <c r="AC102" s="308">
        <f t="shared" si="169"/>
        <v>0</v>
      </c>
      <c r="AD102" s="313"/>
      <c r="AE102" s="311">
        <f t="shared" si="170"/>
        <v>0</v>
      </c>
      <c r="AF102" s="306">
        <v>4000</v>
      </c>
      <c r="AG102" s="314">
        <v>19</v>
      </c>
      <c r="AH102" s="312">
        <f t="shared" si="171"/>
        <v>76000</v>
      </c>
      <c r="AI102" s="310"/>
      <c r="AJ102" s="311">
        <f t="shared" si="172"/>
        <v>0</v>
      </c>
      <c r="AK102" s="306"/>
      <c r="AL102" s="308">
        <f t="shared" si="173"/>
        <v>0</v>
      </c>
      <c r="AM102" s="307"/>
      <c r="AN102" s="308">
        <f t="shared" si="174"/>
        <v>0</v>
      </c>
      <c r="AO102" s="308"/>
      <c r="AP102" s="308">
        <f t="shared" si="175"/>
        <v>0</v>
      </c>
      <c r="AQ102" s="308"/>
      <c r="AR102" s="308">
        <f t="shared" si="176"/>
        <v>0</v>
      </c>
      <c r="AS102" s="310"/>
      <c r="AT102" s="311">
        <f t="shared" si="177"/>
        <v>0</v>
      </c>
      <c r="AU102" s="306"/>
      <c r="AV102" s="312">
        <f t="shared" si="178"/>
        <v>0</v>
      </c>
      <c r="AW102" s="310"/>
      <c r="AX102" s="310">
        <f t="shared" si="179"/>
        <v>0</v>
      </c>
      <c r="AY102" s="308"/>
      <c r="AZ102" s="309">
        <f t="shared" si="180"/>
        <v>0</v>
      </c>
      <c r="BA102" s="306"/>
      <c r="BB102" s="312">
        <f t="shared" si="181"/>
        <v>0</v>
      </c>
      <c r="BC102" s="308"/>
      <c r="BD102" s="308">
        <f t="shared" si="182"/>
        <v>0</v>
      </c>
      <c r="BE102" s="310"/>
      <c r="BF102" s="311">
        <f t="shared" si="183"/>
        <v>0</v>
      </c>
      <c r="BG102" s="306"/>
      <c r="BH102" s="312">
        <f t="shared" si="184"/>
        <v>0</v>
      </c>
      <c r="BI102" s="308"/>
      <c r="BJ102" s="308">
        <f t="shared" si="185"/>
        <v>0</v>
      </c>
      <c r="BK102" s="310"/>
      <c r="BL102" s="311">
        <f t="shared" si="186"/>
        <v>0</v>
      </c>
    </row>
    <row r="103" spans="2:64" s="188" customFormat="1" ht="37" customHeight="1" x14ac:dyDescent="0.35">
      <c r="B103" s="300" t="str">
        <f>IF(ISBLANK($E103)," ",IF(AND(COUNTA(E$97:$E103)+64&gt;72,COUNTA(E$97:$E103)+64&lt;78),CHAR(COUNTA(E$97:$E103)+65),IF(COUNTA(E$97:$E103)+64&gt;77,CHAR(COUNTA(E$97:$E103)+66),CHAR(COUNTA(E$97:$E103)+64))))</f>
        <v>E</v>
      </c>
      <c r="C103" s="315" t="s">
        <v>190</v>
      </c>
      <c r="D103" s="302" t="s">
        <v>135</v>
      </c>
      <c r="E103" s="303">
        <v>1</v>
      </c>
      <c r="F103" s="304">
        <v>4829.4000000000005</v>
      </c>
      <c r="G103" s="305">
        <v>43464.600000000006</v>
      </c>
      <c r="H103" s="317"/>
      <c r="I103" s="318">
        <v>1</v>
      </c>
      <c r="J103" s="319">
        <f t="shared" si="160"/>
        <v>0</v>
      </c>
      <c r="K103" s="308"/>
      <c r="L103" s="308">
        <f t="shared" si="161"/>
        <v>0</v>
      </c>
      <c r="M103" s="308"/>
      <c r="N103" s="309">
        <f t="shared" si="162"/>
        <v>0</v>
      </c>
      <c r="O103" s="310"/>
      <c r="P103" s="311">
        <f t="shared" si="163"/>
        <v>0</v>
      </c>
      <c r="Q103" s="319"/>
      <c r="R103" s="343">
        <f t="shared" si="164"/>
        <v>0</v>
      </c>
      <c r="S103" s="319"/>
      <c r="T103" s="343">
        <f t="shared" si="165"/>
        <v>0</v>
      </c>
      <c r="U103" s="306">
        <v>6091</v>
      </c>
      <c r="V103" s="307">
        <v>9</v>
      </c>
      <c r="W103" s="308">
        <f t="shared" si="166"/>
        <v>54819</v>
      </c>
      <c r="X103" s="307"/>
      <c r="Y103" s="308">
        <f t="shared" si="167"/>
        <v>0</v>
      </c>
      <c r="Z103" s="307"/>
      <c r="AA103" s="308">
        <f t="shared" si="168"/>
        <v>0</v>
      </c>
      <c r="AB103" s="307"/>
      <c r="AC103" s="308">
        <f t="shared" si="169"/>
        <v>0</v>
      </c>
      <c r="AD103" s="313"/>
      <c r="AE103" s="311">
        <f t="shared" si="170"/>
        <v>0</v>
      </c>
      <c r="AF103" s="306">
        <v>2667</v>
      </c>
      <c r="AG103" s="314">
        <v>1</v>
      </c>
      <c r="AH103" s="312">
        <f t="shared" si="171"/>
        <v>2667</v>
      </c>
      <c r="AI103" s="310"/>
      <c r="AJ103" s="311">
        <f t="shared" si="172"/>
        <v>0</v>
      </c>
      <c r="AK103" s="306"/>
      <c r="AL103" s="308">
        <f t="shared" si="173"/>
        <v>0</v>
      </c>
      <c r="AM103" s="307"/>
      <c r="AN103" s="308">
        <f t="shared" si="174"/>
        <v>0</v>
      </c>
      <c r="AO103" s="308"/>
      <c r="AP103" s="308">
        <f t="shared" si="175"/>
        <v>0</v>
      </c>
      <c r="AQ103" s="308"/>
      <c r="AR103" s="308">
        <f t="shared" si="176"/>
        <v>0</v>
      </c>
      <c r="AS103" s="310"/>
      <c r="AT103" s="311">
        <f t="shared" si="177"/>
        <v>0</v>
      </c>
      <c r="AU103" s="306"/>
      <c r="AV103" s="312">
        <f t="shared" si="178"/>
        <v>0</v>
      </c>
      <c r="AW103" s="310"/>
      <c r="AX103" s="310">
        <f t="shared" si="179"/>
        <v>0</v>
      </c>
      <c r="AY103" s="308"/>
      <c r="AZ103" s="309">
        <f t="shared" si="180"/>
        <v>0</v>
      </c>
      <c r="BA103" s="306"/>
      <c r="BB103" s="312">
        <f t="shared" si="181"/>
        <v>0</v>
      </c>
      <c r="BC103" s="308"/>
      <c r="BD103" s="308">
        <f t="shared" si="182"/>
        <v>0</v>
      </c>
      <c r="BE103" s="310"/>
      <c r="BF103" s="311">
        <f t="shared" si="183"/>
        <v>0</v>
      </c>
      <c r="BG103" s="306"/>
      <c r="BH103" s="312">
        <f t="shared" si="184"/>
        <v>0</v>
      </c>
      <c r="BI103" s="308"/>
      <c r="BJ103" s="308">
        <f t="shared" si="185"/>
        <v>0</v>
      </c>
      <c r="BK103" s="310"/>
      <c r="BL103" s="311">
        <f t="shared" si="186"/>
        <v>0</v>
      </c>
    </row>
    <row r="104" spans="2:64" s="188" customFormat="1" ht="37" customHeight="1" x14ac:dyDescent="0.35">
      <c r="B104" s="300" t="str">
        <f>IF(ISBLANK($E104)," ",IF(AND(COUNTA(E$104:$E104)+64&gt;72,COUNTA(E$104:$E104)+64&lt;78),CHAR(COUNTA(E$104:$E104)+65),IF(COUNTA(E$104:$E104)+64&gt;77,CHAR(COUNTA(E$104:$E104)+66),CHAR(COUNTA(E$104:$E104)+64))))</f>
        <v>A</v>
      </c>
      <c r="C104" s="315" t="s">
        <v>191</v>
      </c>
      <c r="D104" s="302" t="s">
        <v>135</v>
      </c>
      <c r="E104" s="303">
        <v>3</v>
      </c>
      <c r="F104" s="304">
        <v>3964.5</v>
      </c>
      <c r="G104" s="305">
        <v>11893.5</v>
      </c>
      <c r="H104" s="317"/>
      <c r="I104" s="318">
        <v>3</v>
      </c>
      <c r="J104" s="319">
        <f t="shared" si="160"/>
        <v>0</v>
      </c>
      <c r="K104" s="308"/>
      <c r="L104" s="308">
        <f>K104*$E104</f>
        <v>0</v>
      </c>
      <c r="M104" s="308"/>
      <c r="N104" s="309">
        <f>M104*$E104</f>
        <v>0</v>
      </c>
      <c r="O104" s="310"/>
      <c r="P104" s="311">
        <f>O104*$E104</f>
        <v>0</v>
      </c>
      <c r="Q104" s="319"/>
      <c r="R104" s="343">
        <f>Q104*$E104</f>
        <v>0</v>
      </c>
      <c r="S104" s="319"/>
      <c r="T104" s="343">
        <f>S104*$E104</f>
        <v>0</v>
      </c>
      <c r="U104" s="317"/>
      <c r="V104" s="318">
        <v>3</v>
      </c>
      <c r="W104" s="319">
        <f>U104*$V104</f>
        <v>0</v>
      </c>
      <c r="X104" s="307"/>
      <c r="Y104" s="308">
        <f>X104*$E104</f>
        <v>0</v>
      </c>
      <c r="Z104" s="307"/>
      <c r="AA104" s="308">
        <f>Z104*$E104</f>
        <v>0</v>
      </c>
      <c r="AB104" s="307"/>
      <c r="AC104" s="308">
        <f>AB104*$E104</f>
        <v>0</v>
      </c>
      <c r="AD104" s="313"/>
      <c r="AE104" s="311">
        <f>AD104*$E104</f>
        <v>0</v>
      </c>
      <c r="AF104" s="306"/>
      <c r="AG104" s="314">
        <v>3</v>
      </c>
      <c r="AH104" s="312">
        <f t="shared" si="171"/>
        <v>0</v>
      </c>
      <c r="AI104" s="310"/>
      <c r="AJ104" s="311">
        <f>AI104*$E104</f>
        <v>0</v>
      </c>
      <c r="AK104" s="306"/>
      <c r="AL104" s="308">
        <f>AK104*$E104</f>
        <v>0</v>
      </c>
      <c r="AM104" s="307"/>
      <c r="AN104" s="308">
        <f>AM104*$E104</f>
        <v>0</v>
      </c>
      <c r="AO104" s="308"/>
      <c r="AP104" s="308">
        <f>AO104*$E104</f>
        <v>0</v>
      </c>
      <c r="AQ104" s="308"/>
      <c r="AR104" s="308">
        <f>AQ104*$E104</f>
        <v>0</v>
      </c>
      <c r="AS104" s="310"/>
      <c r="AT104" s="311">
        <f>AS104*$E104</f>
        <v>0</v>
      </c>
      <c r="AU104" s="306"/>
      <c r="AV104" s="312">
        <f>AU104*$E104</f>
        <v>0</v>
      </c>
      <c r="AW104" s="310"/>
      <c r="AX104" s="310">
        <f>AW104*$E104</f>
        <v>0</v>
      </c>
      <c r="AY104" s="308"/>
      <c r="AZ104" s="309">
        <f>AY104*$E104</f>
        <v>0</v>
      </c>
      <c r="BA104" s="306"/>
      <c r="BB104" s="312">
        <f>BA104*$E104</f>
        <v>0</v>
      </c>
      <c r="BC104" s="308"/>
      <c r="BD104" s="308">
        <f>BC104*$E104</f>
        <v>0</v>
      </c>
      <c r="BE104" s="310"/>
      <c r="BF104" s="311">
        <f>BE104*$E104</f>
        <v>0</v>
      </c>
      <c r="BG104" s="306"/>
      <c r="BH104" s="312">
        <f>BG104*$E104</f>
        <v>0</v>
      </c>
      <c r="BI104" s="308"/>
      <c r="BJ104" s="308">
        <f>BI104*$E104</f>
        <v>0</v>
      </c>
      <c r="BK104" s="310"/>
      <c r="BL104" s="311">
        <f>BK104*$E104</f>
        <v>0</v>
      </c>
    </row>
    <row r="105" spans="2:64" s="188" customFormat="1" ht="37" customHeight="1" x14ac:dyDescent="0.35">
      <c r="B105" s="300" t="str">
        <f>IF(ISBLANK($E105)," ",IF(AND(COUNTA(E105:$E$123)+64&gt;72,COUNTA(E105:$E$123)+64&lt;78),CHAR(COUNTA(E105:$E$123)+65),IF(COUNTA(E105:$E$123)+64&gt;77,CHAR(COUNTA(E105:$E$123)+66),CHAR(COUNTA(E105:$E$123)+64))))</f>
        <v>N</v>
      </c>
      <c r="C105" s="315" t="s">
        <v>192</v>
      </c>
      <c r="D105" s="302" t="s">
        <v>135</v>
      </c>
      <c r="E105" s="303">
        <v>1</v>
      </c>
      <c r="F105" s="304">
        <v>12039.300000000001</v>
      </c>
      <c r="G105" s="305">
        <v>12039.300000000001</v>
      </c>
      <c r="H105" s="317"/>
      <c r="I105" s="318"/>
      <c r="J105" s="319"/>
      <c r="K105" s="308"/>
      <c r="L105" s="308"/>
      <c r="M105" s="308"/>
      <c r="N105" s="309"/>
      <c r="O105" s="310"/>
      <c r="P105" s="311"/>
      <c r="Q105" s="319"/>
      <c r="R105" s="343"/>
      <c r="S105" s="319"/>
      <c r="T105" s="343"/>
      <c r="U105" s="332">
        <v>6829</v>
      </c>
      <c r="V105" s="333">
        <v>1</v>
      </c>
      <c r="W105" s="334">
        <f t="shared" ref="W105:W107" si="187">U105*$V105</f>
        <v>6829</v>
      </c>
      <c r="X105" s="314"/>
      <c r="Y105" s="308"/>
      <c r="Z105" s="314"/>
      <c r="AA105" s="308"/>
      <c r="AB105" s="314"/>
      <c r="AC105" s="308"/>
      <c r="AD105" s="351"/>
      <c r="AE105" s="311"/>
      <c r="AF105" s="306"/>
      <c r="AG105" s="314"/>
      <c r="AH105" s="312"/>
      <c r="AI105" s="310"/>
      <c r="AJ105" s="311"/>
      <c r="AK105" s="306"/>
      <c r="AL105" s="308"/>
      <c r="AM105" s="307"/>
      <c r="AN105" s="308"/>
      <c r="AO105" s="308"/>
      <c r="AP105" s="308"/>
      <c r="AQ105" s="308"/>
      <c r="AR105" s="308"/>
      <c r="AS105" s="310"/>
      <c r="AT105" s="311"/>
      <c r="AU105" s="306"/>
      <c r="AV105" s="312"/>
      <c r="AW105" s="310"/>
      <c r="AX105" s="352"/>
      <c r="AY105" s="308"/>
      <c r="AZ105" s="309"/>
      <c r="BA105" s="306"/>
      <c r="BB105" s="312"/>
      <c r="BC105" s="307"/>
      <c r="BD105" s="312"/>
      <c r="BE105" s="310"/>
      <c r="BF105" s="311"/>
      <c r="BG105" s="306"/>
      <c r="BH105" s="312"/>
      <c r="BI105" s="308"/>
      <c r="BJ105" s="312"/>
      <c r="BK105" s="310"/>
      <c r="BL105" s="311"/>
    </row>
    <row r="106" spans="2:64" s="188" customFormat="1" ht="37" customHeight="1" x14ac:dyDescent="0.35">
      <c r="B106" s="300" t="str">
        <f>IF(ISBLANK($E106)," ",IF(AND(COUNTA(E106:$E$123)+64&gt;72,COUNTA(E106:$E$123)+64&lt;78),CHAR(COUNTA(E106:$E$123)+65),IF(COUNTA(E106:$E$123)+64&gt;77,CHAR(COUNTA(E106:$E$123)+66),CHAR(COUNTA(E106:$E$123)+64))))</f>
        <v>M</v>
      </c>
      <c r="C106" s="315" t="s">
        <v>193</v>
      </c>
      <c r="D106" s="302" t="s">
        <v>135</v>
      </c>
      <c r="E106" s="303">
        <v>1</v>
      </c>
      <c r="F106" s="304">
        <v>3231</v>
      </c>
      <c r="G106" s="305">
        <v>3231</v>
      </c>
      <c r="H106" s="317"/>
      <c r="I106" s="318"/>
      <c r="J106" s="319"/>
      <c r="K106" s="308"/>
      <c r="L106" s="308"/>
      <c r="M106" s="308"/>
      <c r="N106" s="309"/>
      <c r="O106" s="310"/>
      <c r="P106" s="311"/>
      <c r="Q106" s="319"/>
      <c r="R106" s="343"/>
      <c r="S106" s="319"/>
      <c r="T106" s="343"/>
      <c r="U106" s="332">
        <v>4075</v>
      </c>
      <c r="V106" s="333">
        <v>1</v>
      </c>
      <c r="W106" s="334">
        <f t="shared" si="187"/>
        <v>4075</v>
      </c>
      <c r="X106" s="314"/>
      <c r="Y106" s="308"/>
      <c r="Z106" s="314"/>
      <c r="AA106" s="308"/>
      <c r="AB106" s="314"/>
      <c r="AC106" s="308"/>
      <c r="AD106" s="351"/>
      <c r="AE106" s="311"/>
      <c r="AF106" s="306"/>
      <c r="AG106" s="314"/>
      <c r="AH106" s="312"/>
      <c r="AI106" s="310"/>
      <c r="AJ106" s="311"/>
      <c r="AK106" s="306"/>
      <c r="AL106" s="308"/>
      <c r="AM106" s="307"/>
      <c r="AN106" s="308"/>
      <c r="AO106" s="308"/>
      <c r="AP106" s="308"/>
      <c r="AQ106" s="308"/>
      <c r="AR106" s="308"/>
      <c r="AS106" s="310"/>
      <c r="AT106" s="311"/>
      <c r="AU106" s="306"/>
      <c r="AV106" s="312"/>
      <c r="AW106" s="310"/>
      <c r="AX106" s="352"/>
      <c r="AY106" s="308"/>
      <c r="AZ106" s="309"/>
      <c r="BA106" s="306"/>
      <c r="BB106" s="312"/>
      <c r="BC106" s="307"/>
      <c r="BD106" s="312"/>
      <c r="BE106" s="310"/>
      <c r="BF106" s="311"/>
      <c r="BG106" s="306"/>
      <c r="BH106" s="312"/>
      <c r="BI106" s="308"/>
      <c r="BJ106" s="312"/>
      <c r="BK106" s="310"/>
      <c r="BL106" s="311"/>
    </row>
    <row r="107" spans="2:64" s="188" customFormat="1" ht="37" customHeight="1" x14ac:dyDescent="0.35">
      <c r="B107" s="300" t="str">
        <f>IF(ISBLANK($E107)," ",IF(AND(COUNTA(E107:$E$123)+64&gt;72,COUNTA(E107:$E$123)+64&lt;78),CHAR(COUNTA(E107:$E$123)+65),IF(COUNTA(E107:$E$123)+64&gt;77,CHAR(COUNTA(E107:$E$123)+66),CHAR(COUNTA(E107:$E$123)+64))))</f>
        <v>L</v>
      </c>
      <c r="C107" s="315" t="s">
        <v>194</v>
      </c>
      <c r="D107" s="302" t="s">
        <v>135</v>
      </c>
      <c r="E107" s="303">
        <v>1</v>
      </c>
      <c r="F107" s="304">
        <v>4176.9000000000005</v>
      </c>
      <c r="G107" s="305">
        <v>4176.9000000000005</v>
      </c>
      <c r="H107" s="317"/>
      <c r="I107" s="318"/>
      <c r="J107" s="319"/>
      <c r="K107" s="308"/>
      <c r="L107" s="308"/>
      <c r="M107" s="308"/>
      <c r="N107" s="309"/>
      <c r="O107" s="310"/>
      <c r="P107" s="311"/>
      <c r="Q107" s="319"/>
      <c r="R107" s="343"/>
      <c r="S107" s="319"/>
      <c r="T107" s="343"/>
      <c r="U107" s="332">
        <v>5268</v>
      </c>
      <c r="V107" s="333">
        <v>1</v>
      </c>
      <c r="W107" s="334">
        <f t="shared" si="187"/>
        <v>5268</v>
      </c>
      <c r="X107" s="314"/>
      <c r="Y107" s="308"/>
      <c r="Z107" s="314"/>
      <c r="AA107" s="308"/>
      <c r="AB107" s="314"/>
      <c r="AC107" s="308"/>
      <c r="AD107" s="351"/>
      <c r="AE107" s="311"/>
      <c r="AF107" s="306"/>
      <c r="AG107" s="314"/>
      <c r="AH107" s="312"/>
      <c r="AI107" s="310"/>
      <c r="AJ107" s="311"/>
      <c r="AK107" s="306"/>
      <c r="AL107" s="308"/>
      <c r="AM107" s="307"/>
      <c r="AN107" s="308"/>
      <c r="AO107" s="308"/>
      <c r="AP107" s="308"/>
      <c r="AQ107" s="308"/>
      <c r="AR107" s="308"/>
      <c r="AS107" s="310"/>
      <c r="AT107" s="311"/>
      <c r="AU107" s="306"/>
      <c r="AV107" s="312"/>
      <c r="AW107" s="310"/>
      <c r="AX107" s="352"/>
      <c r="AY107" s="308"/>
      <c r="AZ107" s="309"/>
      <c r="BA107" s="306"/>
      <c r="BB107" s="312"/>
      <c r="BC107" s="307"/>
      <c r="BD107" s="312"/>
      <c r="BE107" s="310"/>
      <c r="BF107" s="311"/>
      <c r="BG107" s="306"/>
      <c r="BH107" s="312"/>
      <c r="BI107" s="308"/>
      <c r="BJ107" s="312"/>
      <c r="BK107" s="310"/>
      <c r="BL107" s="311"/>
    </row>
    <row r="108" spans="2:64" s="188" customFormat="1" ht="37" customHeight="1" x14ac:dyDescent="0.35">
      <c r="B108" s="300" t="str">
        <f>IF(ISBLANK($E108)," ",IF(AND(COUNTA(E$104:$E108)+64&gt;72,COUNTA(E$104:$E108)+64&lt;78),CHAR(COUNTA(E$104:$E108)+65),IF(COUNTA(E$104:$E108)+64&gt;77,CHAR(COUNTA(E$104:$E108)+66),CHAR(COUNTA(E$104:$E108)+64))))</f>
        <v>E</v>
      </c>
      <c r="C108" s="315" t="s">
        <v>195</v>
      </c>
      <c r="D108" s="302" t="s">
        <v>135</v>
      </c>
      <c r="E108" s="303">
        <v>2</v>
      </c>
      <c r="F108" s="304">
        <v>1585.8</v>
      </c>
      <c r="G108" s="305">
        <v>3171.6</v>
      </c>
      <c r="H108" s="317"/>
      <c r="I108" s="318">
        <v>2</v>
      </c>
      <c r="J108" s="319">
        <f>H108*$I108</f>
        <v>0</v>
      </c>
      <c r="K108" s="308"/>
      <c r="L108" s="308">
        <f>K108*$E108</f>
        <v>0</v>
      </c>
      <c r="M108" s="308"/>
      <c r="N108" s="309">
        <f>M108*$E108</f>
        <v>0</v>
      </c>
      <c r="O108" s="310"/>
      <c r="P108" s="311">
        <f>O108*$E108</f>
        <v>0</v>
      </c>
      <c r="Q108" s="319"/>
      <c r="R108" s="343">
        <f>Q108*$E108</f>
        <v>0</v>
      </c>
      <c r="S108" s="319"/>
      <c r="T108" s="343">
        <f>S108*$E108</f>
        <v>0</v>
      </c>
      <c r="U108" s="317"/>
      <c r="V108" s="318">
        <v>2</v>
      </c>
      <c r="W108" s="319">
        <f>U108*$V108</f>
        <v>0</v>
      </c>
      <c r="X108" s="307"/>
      <c r="Y108" s="308">
        <f>X108*$E108</f>
        <v>0</v>
      </c>
      <c r="Z108" s="307"/>
      <c r="AA108" s="308">
        <f>Z108*$E108</f>
        <v>0</v>
      </c>
      <c r="AB108" s="307"/>
      <c r="AC108" s="308">
        <f>AB108*$E108</f>
        <v>0</v>
      </c>
      <c r="AD108" s="313"/>
      <c r="AE108" s="311">
        <f>AD108*$E108</f>
        <v>0</v>
      </c>
      <c r="AF108" s="306"/>
      <c r="AG108" s="314">
        <v>2</v>
      </c>
      <c r="AH108" s="312">
        <f>AF108*$AG108</f>
        <v>0</v>
      </c>
      <c r="AI108" s="310"/>
      <c r="AJ108" s="311">
        <f>AI108*$E108</f>
        <v>0</v>
      </c>
      <c r="AK108" s="306"/>
      <c r="AL108" s="308">
        <f>AK108*$E108</f>
        <v>0</v>
      </c>
      <c r="AM108" s="307"/>
      <c r="AN108" s="308">
        <f>AM108*$E108</f>
        <v>0</v>
      </c>
      <c r="AO108" s="308"/>
      <c r="AP108" s="308">
        <f>AO108*$E108</f>
        <v>0</v>
      </c>
      <c r="AQ108" s="308"/>
      <c r="AR108" s="308">
        <f>AQ108*$E108</f>
        <v>0</v>
      </c>
      <c r="AS108" s="310"/>
      <c r="AT108" s="311">
        <f>AS108*$E108</f>
        <v>0</v>
      </c>
      <c r="AU108" s="306"/>
      <c r="AV108" s="312">
        <f>AU108*$E108</f>
        <v>0</v>
      </c>
      <c r="AW108" s="310"/>
      <c r="AX108" s="310">
        <f>AW108*$E108</f>
        <v>0</v>
      </c>
      <c r="AY108" s="308"/>
      <c r="AZ108" s="309">
        <f>AY108*$E108</f>
        <v>0</v>
      </c>
      <c r="BA108" s="306"/>
      <c r="BB108" s="312">
        <f>BA108*$E108</f>
        <v>0</v>
      </c>
      <c r="BC108" s="308"/>
      <c r="BD108" s="308">
        <f>BC108*$E108</f>
        <v>0</v>
      </c>
      <c r="BE108" s="310"/>
      <c r="BF108" s="311">
        <f>BE108*$E108</f>
        <v>0</v>
      </c>
      <c r="BG108" s="306"/>
      <c r="BH108" s="312">
        <f>BG108*$E108</f>
        <v>0</v>
      </c>
      <c r="BI108" s="308"/>
      <c r="BJ108" s="308">
        <f>BI108*$E108</f>
        <v>0</v>
      </c>
      <c r="BK108" s="310"/>
      <c r="BL108" s="311">
        <f>BK108*$E108</f>
        <v>0</v>
      </c>
    </row>
    <row r="109" spans="2:64" s="188" customFormat="1" ht="32" customHeight="1" x14ac:dyDescent="0.35">
      <c r="B109" s="290"/>
      <c r="C109" s="291" t="s">
        <v>196</v>
      </c>
      <c r="D109" s="290"/>
      <c r="E109" s="292"/>
      <c r="F109" s="293">
        <v>0</v>
      </c>
      <c r="G109" s="294">
        <v>0</v>
      </c>
      <c r="H109" s="295"/>
      <c r="I109" s="296"/>
      <c r="J109" s="297"/>
      <c r="K109" s="297"/>
      <c r="L109" s="297"/>
      <c r="M109" s="297"/>
      <c r="N109" s="298"/>
      <c r="O109" s="297"/>
      <c r="P109" s="298"/>
      <c r="Q109" s="297"/>
      <c r="R109" s="298"/>
      <c r="S109" s="297"/>
      <c r="T109" s="298"/>
      <c r="U109" s="295"/>
      <c r="V109" s="296"/>
      <c r="W109" s="297"/>
      <c r="X109" s="294"/>
      <c r="Y109" s="297"/>
      <c r="Z109" s="294"/>
      <c r="AA109" s="297"/>
      <c r="AB109" s="294"/>
      <c r="AC109" s="297"/>
      <c r="AD109" s="294"/>
      <c r="AE109" s="298"/>
      <c r="AF109" s="295"/>
      <c r="AG109" s="299"/>
      <c r="AH109" s="294"/>
      <c r="AI109" s="297"/>
      <c r="AJ109" s="298"/>
      <c r="AK109" s="295"/>
      <c r="AL109" s="297"/>
      <c r="AM109" s="296"/>
      <c r="AN109" s="297"/>
      <c r="AO109" s="297"/>
      <c r="AP109" s="297"/>
      <c r="AQ109" s="297"/>
      <c r="AR109" s="297"/>
      <c r="AS109" s="297"/>
      <c r="AT109" s="298"/>
      <c r="AU109" s="295"/>
      <c r="AV109" s="294"/>
      <c r="AW109" s="297"/>
      <c r="AX109" s="294"/>
      <c r="AY109" s="297"/>
      <c r="AZ109" s="298"/>
      <c r="BA109" s="295"/>
      <c r="BB109" s="294"/>
      <c r="BC109" s="296"/>
      <c r="BD109" s="294"/>
      <c r="BE109" s="297"/>
      <c r="BF109" s="298"/>
      <c r="BG109" s="295"/>
      <c r="BH109" s="294"/>
      <c r="BI109" s="297"/>
      <c r="BJ109" s="294"/>
      <c r="BK109" s="297" t="s">
        <v>97</v>
      </c>
      <c r="BL109" s="298"/>
    </row>
    <row r="110" spans="2:64" s="188" customFormat="1" ht="53" customHeight="1" x14ac:dyDescent="0.35">
      <c r="B110" s="300" t="str">
        <f>IF(ISBLANK($E110)," ",IF(AND(COUNTA(E$104:$E110)+64&gt;72,COUNTA(E$104:$E110)+64&lt;78),CHAR(COUNTA(E$104:$E110)+65),IF(COUNTA(E$104:$E110)+64&gt;77,CHAR(COUNTA(E$104:$E110)+66),CHAR(COUNTA(E$104:$E110)+64))))</f>
        <v>F</v>
      </c>
      <c r="C110" s="315" t="s">
        <v>197</v>
      </c>
      <c r="D110" s="302" t="s">
        <v>103</v>
      </c>
      <c r="E110" s="303">
        <v>1903</v>
      </c>
      <c r="F110" s="304">
        <v>0</v>
      </c>
      <c r="G110" s="305" t="s">
        <v>198</v>
      </c>
      <c r="H110" s="317"/>
      <c r="I110" s="318">
        <v>1903</v>
      </c>
      <c r="J110" s="319">
        <f t="shared" ref="J110:J114" si="188">H110*$I110</f>
        <v>0</v>
      </c>
      <c r="K110" s="308"/>
      <c r="L110" s="308">
        <f t="shared" ref="L110:L114" si="189">K110*$E110</f>
        <v>0</v>
      </c>
      <c r="M110" s="308"/>
      <c r="N110" s="309">
        <f t="shared" ref="N110:N114" si="190">M110*$E110</f>
        <v>0</v>
      </c>
      <c r="O110" s="310"/>
      <c r="P110" s="311">
        <f t="shared" ref="P110:P114" si="191">O110*$E110</f>
        <v>0</v>
      </c>
      <c r="Q110" s="319"/>
      <c r="R110" s="343">
        <f t="shared" ref="R110:R114" si="192">Q110*$E110</f>
        <v>0</v>
      </c>
      <c r="S110" s="319"/>
      <c r="T110" s="343">
        <f t="shared" ref="T110:T114" si="193">S110*$E110</f>
        <v>0</v>
      </c>
      <c r="U110" s="317"/>
      <c r="V110" s="318">
        <v>1903</v>
      </c>
      <c r="W110" s="319">
        <f t="shared" ref="W110:W129" si="194">U110*$V110</f>
        <v>0</v>
      </c>
      <c r="X110" s="307"/>
      <c r="Y110" s="308">
        <f t="shared" ref="Y110:Y114" si="195">X110*$E110</f>
        <v>0</v>
      </c>
      <c r="Z110" s="307"/>
      <c r="AA110" s="308">
        <f t="shared" ref="AA110:AA114" si="196">Z110*$E110</f>
        <v>0</v>
      </c>
      <c r="AB110" s="307"/>
      <c r="AC110" s="308">
        <f t="shared" ref="AC110:AC114" si="197">AB110*$E110</f>
        <v>0</v>
      </c>
      <c r="AD110" s="313"/>
      <c r="AE110" s="311">
        <f t="shared" ref="AE110:AE114" si="198">AD110*$E110</f>
        <v>0</v>
      </c>
      <c r="AF110" s="322"/>
      <c r="AG110" s="323">
        <v>1903</v>
      </c>
      <c r="AH110" s="324">
        <f>AF110*$AG110</f>
        <v>0</v>
      </c>
      <c r="AI110" s="310"/>
      <c r="AJ110" s="311">
        <f t="shared" ref="AJ110:AJ114" si="199">AI110*$E110</f>
        <v>0</v>
      </c>
      <c r="AK110" s="306"/>
      <c r="AL110" s="308">
        <f t="shared" ref="AL110:AL114" si="200">AK110*$E110</f>
        <v>0</v>
      </c>
      <c r="AM110" s="307"/>
      <c r="AN110" s="308">
        <f t="shared" ref="AN110:AN114" si="201">AM110*$E110</f>
        <v>0</v>
      </c>
      <c r="AO110" s="308"/>
      <c r="AP110" s="308">
        <f t="shared" ref="AP110:AP114" si="202">AO110*$E110</f>
        <v>0</v>
      </c>
      <c r="AQ110" s="308"/>
      <c r="AR110" s="308">
        <f t="shared" ref="AR110:AR114" si="203">AQ110*$E110</f>
        <v>0</v>
      </c>
      <c r="AS110" s="310"/>
      <c r="AT110" s="311">
        <f t="shared" ref="AT110:AT114" si="204">AS110*$E110</f>
        <v>0</v>
      </c>
      <c r="AU110" s="306"/>
      <c r="AV110" s="312">
        <f t="shared" ref="AV110:AV114" si="205">AU110*$E110</f>
        <v>0</v>
      </c>
      <c r="AW110" s="310"/>
      <c r="AX110" s="310">
        <f t="shared" ref="AX110:AX114" si="206">AW110*$E110</f>
        <v>0</v>
      </c>
      <c r="AY110" s="308"/>
      <c r="AZ110" s="309">
        <f t="shared" ref="AZ110:AZ114" si="207">AY110*$E110</f>
        <v>0</v>
      </c>
      <c r="BA110" s="306"/>
      <c r="BB110" s="312">
        <f t="shared" ref="BB110:BB114" si="208">BA110*$E110</f>
        <v>0</v>
      </c>
      <c r="BC110" s="308"/>
      <c r="BD110" s="308">
        <f t="shared" ref="BD110:BD114" si="209">BC110*$E110</f>
        <v>0</v>
      </c>
      <c r="BE110" s="310"/>
      <c r="BF110" s="311">
        <f t="shared" ref="BF110:BF114" si="210">BE110*$E110</f>
        <v>0</v>
      </c>
      <c r="BG110" s="306"/>
      <c r="BH110" s="312">
        <f t="shared" ref="BH110:BH114" si="211">BG110*$E110</f>
        <v>0</v>
      </c>
      <c r="BI110" s="308"/>
      <c r="BJ110" s="308">
        <f t="shared" ref="BJ110:BJ114" si="212">BI110*$E110</f>
        <v>0</v>
      </c>
      <c r="BK110" s="310"/>
      <c r="BL110" s="311">
        <f t="shared" ref="BL110:BL114" si="213">BK110*$E110</f>
        <v>0</v>
      </c>
    </row>
    <row r="111" spans="2:64" s="188" customFormat="1" ht="53" customHeight="1" x14ac:dyDescent="0.35">
      <c r="B111" s="300" t="str">
        <f>IF(ISBLANK($E111)," ",IF(AND(COUNTA(E$104:$E111)+64&gt;72,COUNTA(E$104:$E111)+64&lt;78),CHAR(COUNTA(E$104:$E111)+65),IF(COUNTA(E$104:$E111)+64&gt;77,CHAR(COUNTA(E$104:$E111)+66),CHAR(COUNTA(E$104:$E111)+64))))</f>
        <v>G</v>
      </c>
      <c r="C111" s="315" t="s">
        <v>199</v>
      </c>
      <c r="D111" s="302" t="s">
        <v>103</v>
      </c>
      <c r="E111" s="303">
        <v>1151</v>
      </c>
      <c r="F111" s="304">
        <v>0</v>
      </c>
      <c r="G111" s="305" t="s">
        <v>198</v>
      </c>
      <c r="H111" s="317"/>
      <c r="I111" s="318">
        <v>1151</v>
      </c>
      <c r="J111" s="319">
        <f t="shared" si="188"/>
        <v>0</v>
      </c>
      <c r="K111" s="308"/>
      <c r="L111" s="308">
        <f t="shared" si="189"/>
        <v>0</v>
      </c>
      <c r="M111" s="308"/>
      <c r="N111" s="309">
        <f t="shared" si="190"/>
        <v>0</v>
      </c>
      <c r="O111" s="310"/>
      <c r="P111" s="311">
        <f t="shared" si="191"/>
        <v>0</v>
      </c>
      <c r="Q111" s="319"/>
      <c r="R111" s="343">
        <f t="shared" si="192"/>
        <v>0</v>
      </c>
      <c r="S111" s="319"/>
      <c r="T111" s="343">
        <f t="shared" si="193"/>
        <v>0</v>
      </c>
      <c r="U111" s="317"/>
      <c r="V111" s="318">
        <v>1151</v>
      </c>
      <c r="W111" s="319">
        <f t="shared" si="194"/>
        <v>0</v>
      </c>
      <c r="X111" s="307"/>
      <c r="Y111" s="308">
        <f t="shared" si="195"/>
        <v>0</v>
      </c>
      <c r="Z111" s="307"/>
      <c r="AA111" s="308">
        <f t="shared" si="196"/>
        <v>0</v>
      </c>
      <c r="AB111" s="307"/>
      <c r="AC111" s="308">
        <f t="shared" si="197"/>
        <v>0</v>
      </c>
      <c r="AD111" s="313"/>
      <c r="AE111" s="311">
        <f t="shared" si="198"/>
        <v>0</v>
      </c>
      <c r="AF111" s="322"/>
      <c r="AG111" s="323">
        <v>1151</v>
      </c>
      <c r="AH111" s="324">
        <f>AF111*$AG111</f>
        <v>0</v>
      </c>
      <c r="AI111" s="310"/>
      <c r="AJ111" s="311">
        <f t="shared" si="199"/>
        <v>0</v>
      </c>
      <c r="AK111" s="306"/>
      <c r="AL111" s="308">
        <f t="shared" si="200"/>
        <v>0</v>
      </c>
      <c r="AM111" s="307"/>
      <c r="AN111" s="308">
        <f t="shared" si="201"/>
        <v>0</v>
      </c>
      <c r="AO111" s="308"/>
      <c r="AP111" s="308">
        <f t="shared" si="202"/>
        <v>0</v>
      </c>
      <c r="AQ111" s="308"/>
      <c r="AR111" s="308">
        <f t="shared" si="203"/>
        <v>0</v>
      </c>
      <c r="AS111" s="310"/>
      <c r="AT111" s="311">
        <f t="shared" si="204"/>
        <v>0</v>
      </c>
      <c r="AU111" s="306"/>
      <c r="AV111" s="312">
        <f t="shared" si="205"/>
        <v>0</v>
      </c>
      <c r="AW111" s="310"/>
      <c r="AX111" s="310">
        <f t="shared" si="206"/>
        <v>0</v>
      </c>
      <c r="AY111" s="308"/>
      <c r="AZ111" s="309">
        <f t="shared" si="207"/>
        <v>0</v>
      </c>
      <c r="BA111" s="306"/>
      <c r="BB111" s="312">
        <f t="shared" si="208"/>
        <v>0</v>
      </c>
      <c r="BC111" s="308"/>
      <c r="BD111" s="308">
        <f t="shared" si="209"/>
        <v>0</v>
      </c>
      <c r="BE111" s="310"/>
      <c r="BF111" s="311">
        <f t="shared" si="210"/>
        <v>0</v>
      </c>
      <c r="BG111" s="306"/>
      <c r="BH111" s="312">
        <f t="shared" si="211"/>
        <v>0</v>
      </c>
      <c r="BI111" s="308"/>
      <c r="BJ111" s="308">
        <f t="shared" si="212"/>
        <v>0</v>
      </c>
      <c r="BK111" s="310"/>
      <c r="BL111" s="311">
        <f t="shared" si="213"/>
        <v>0</v>
      </c>
    </row>
    <row r="112" spans="2:64" s="188" customFormat="1" ht="37" customHeight="1" x14ac:dyDescent="0.35">
      <c r="B112" s="300" t="str">
        <f>IF(ISBLANK($E112)," ",IF(AND(COUNTA(E$104:$E112)+64&gt;72,COUNTA(E$104:$E112)+64&lt;78),CHAR(COUNTA(E$104:$E112)+65),IF(COUNTA(E$104:$E112)+64&gt;77,CHAR(COUNTA(E$104:$E112)+66),CHAR(COUNTA(E$104:$E112)+64))))</f>
        <v>H</v>
      </c>
      <c r="C112" s="315" t="s">
        <v>200</v>
      </c>
      <c r="D112" s="302" t="s">
        <v>103</v>
      </c>
      <c r="E112" s="303">
        <v>735</v>
      </c>
      <c r="F112" s="304">
        <v>19.8</v>
      </c>
      <c r="G112" s="305">
        <v>22255.200000000001</v>
      </c>
      <c r="H112" s="306">
        <v>4</v>
      </c>
      <c r="I112" s="307">
        <v>735</v>
      </c>
      <c r="J112" s="308">
        <f t="shared" si="188"/>
        <v>2940</v>
      </c>
      <c r="K112" s="308"/>
      <c r="L112" s="308">
        <f t="shared" si="189"/>
        <v>0</v>
      </c>
      <c r="M112" s="308"/>
      <c r="N112" s="309">
        <f t="shared" si="190"/>
        <v>0</v>
      </c>
      <c r="O112" s="310"/>
      <c r="P112" s="311">
        <f t="shared" si="191"/>
        <v>0</v>
      </c>
      <c r="Q112" s="310">
        <v>18.5</v>
      </c>
      <c r="R112" s="311">
        <f t="shared" si="192"/>
        <v>13597.5</v>
      </c>
      <c r="S112" s="310"/>
      <c r="T112" s="311">
        <f t="shared" si="193"/>
        <v>0</v>
      </c>
      <c r="U112" s="332">
        <v>24</v>
      </c>
      <c r="V112" s="333">
        <v>1124</v>
      </c>
      <c r="W112" s="334">
        <f t="shared" si="194"/>
        <v>26976</v>
      </c>
      <c r="X112" s="307"/>
      <c r="Y112" s="308">
        <f t="shared" si="195"/>
        <v>0</v>
      </c>
      <c r="Z112" s="307"/>
      <c r="AA112" s="308">
        <f t="shared" si="196"/>
        <v>0</v>
      </c>
      <c r="AB112" s="307"/>
      <c r="AC112" s="308">
        <f t="shared" si="197"/>
        <v>0</v>
      </c>
      <c r="AD112" s="313"/>
      <c r="AE112" s="311">
        <f t="shared" si="198"/>
        <v>0</v>
      </c>
      <c r="AF112" s="306">
        <v>5</v>
      </c>
      <c r="AG112" s="314">
        <v>735</v>
      </c>
      <c r="AH112" s="312">
        <f>AF112*$AG112</f>
        <v>3675</v>
      </c>
      <c r="AI112" s="310"/>
      <c r="AJ112" s="311">
        <f t="shared" si="199"/>
        <v>0</v>
      </c>
      <c r="AK112" s="306"/>
      <c r="AL112" s="308">
        <f t="shared" si="200"/>
        <v>0</v>
      </c>
      <c r="AM112" s="307"/>
      <c r="AN112" s="308">
        <f t="shared" si="201"/>
        <v>0</v>
      </c>
      <c r="AO112" s="308"/>
      <c r="AP112" s="308">
        <f t="shared" si="202"/>
        <v>0</v>
      </c>
      <c r="AQ112" s="308"/>
      <c r="AR112" s="308">
        <f t="shared" si="203"/>
        <v>0</v>
      </c>
      <c r="AS112" s="310"/>
      <c r="AT112" s="311">
        <f t="shared" si="204"/>
        <v>0</v>
      </c>
      <c r="AU112" s="306"/>
      <c r="AV112" s="312">
        <f t="shared" si="205"/>
        <v>0</v>
      </c>
      <c r="AW112" s="310"/>
      <c r="AX112" s="310">
        <f t="shared" si="206"/>
        <v>0</v>
      </c>
      <c r="AY112" s="308"/>
      <c r="AZ112" s="309">
        <f t="shared" si="207"/>
        <v>0</v>
      </c>
      <c r="BA112" s="306"/>
      <c r="BB112" s="312">
        <f t="shared" si="208"/>
        <v>0</v>
      </c>
      <c r="BC112" s="308"/>
      <c r="BD112" s="308">
        <f t="shared" si="209"/>
        <v>0</v>
      </c>
      <c r="BE112" s="310"/>
      <c r="BF112" s="311">
        <f t="shared" si="210"/>
        <v>0</v>
      </c>
      <c r="BG112" s="306"/>
      <c r="BH112" s="312">
        <f t="shared" si="211"/>
        <v>0</v>
      </c>
      <c r="BI112" s="308"/>
      <c r="BJ112" s="308">
        <f t="shared" si="212"/>
        <v>0</v>
      </c>
      <c r="BK112" s="310"/>
      <c r="BL112" s="311">
        <f t="shared" si="213"/>
        <v>0</v>
      </c>
    </row>
    <row r="113" spans="2:64" s="188" customFormat="1" ht="37" customHeight="1" x14ac:dyDescent="0.35">
      <c r="B113" s="300" t="str">
        <f>IF(ISBLANK($E113)," ",IF(AND(COUNTA(E$104:$E113)+64&gt;72,COUNTA(E$104:$E113)+64&lt;78),CHAR(COUNTA(E$104:$E113)+65),IF(COUNTA(E$104:$E113)+64&gt;77,CHAR(COUNTA(E$104:$E113)+66),CHAR(COUNTA(E$104:$E113)+64))))</f>
        <v>J</v>
      </c>
      <c r="C113" s="315" t="s">
        <v>201</v>
      </c>
      <c r="D113" s="302" t="s">
        <v>103</v>
      </c>
      <c r="E113" s="303">
        <v>735</v>
      </c>
      <c r="F113" s="304">
        <v>50.4</v>
      </c>
      <c r="G113" s="305">
        <v>56649.599999999999</v>
      </c>
      <c r="H113" s="306">
        <v>39</v>
      </c>
      <c r="I113" s="307">
        <v>735</v>
      </c>
      <c r="J113" s="308">
        <f t="shared" si="188"/>
        <v>28665</v>
      </c>
      <c r="K113" s="308"/>
      <c r="L113" s="308">
        <f t="shared" si="189"/>
        <v>0</v>
      </c>
      <c r="M113" s="308"/>
      <c r="N113" s="309">
        <f t="shared" si="190"/>
        <v>0</v>
      </c>
      <c r="O113" s="310"/>
      <c r="P113" s="311">
        <f t="shared" si="191"/>
        <v>0</v>
      </c>
      <c r="Q113" s="310">
        <v>55</v>
      </c>
      <c r="R113" s="311">
        <f t="shared" si="192"/>
        <v>40425</v>
      </c>
      <c r="S113" s="310"/>
      <c r="T113" s="311">
        <f t="shared" si="193"/>
        <v>0</v>
      </c>
      <c r="U113" s="332">
        <v>63</v>
      </c>
      <c r="V113" s="333">
        <v>1124</v>
      </c>
      <c r="W113" s="334">
        <f t="shared" si="194"/>
        <v>70812</v>
      </c>
      <c r="X113" s="307"/>
      <c r="Y113" s="308">
        <f t="shared" si="195"/>
        <v>0</v>
      </c>
      <c r="Z113" s="307"/>
      <c r="AA113" s="308">
        <f t="shared" si="196"/>
        <v>0</v>
      </c>
      <c r="AB113" s="307"/>
      <c r="AC113" s="308">
        <f t="shared" si="197"/>
        <v>0</v>
      </c>
      <c r="AD113" s="313"/>
      <c r="AE113" s="311">
        <f t="shared" si="198"/>
        <v>0</v>
      </c>
      <c r="AF113" s="306">
        <v>50</v>
      </c>
      <c r="AG113" s="314">
        <v>735</v>
      </c>
      <c r="AH113" s="312">
        <f>AF113*$AG113</f>
        <v>36750</v>
      </c>
      <c r="AI113" s="310"/>
      <c r="AJ113" s="311">
        <f t="shared" si="199"/>
        <v>0</v>
      </c>
      <c r="AK113" s="306"/>
      <c r="AL113" s="308">
        <f t="shared" si="200"/>
        <v>0</v>
      </c>
      <c r="AM113" s="307"/>
      <c r="AN113" s="308">
        <f t="shared" si="201"/>
        <v>0</v>
      </c>
      <c r="AO113" s="308"/>
      <c r="AP113" s="308">
        <f t="shared" si="202"/>
        <v>0</v>
      </c>
      <c r="AQ113" s="308"/>
      <c r="AR113" s="308">
        <f t="shared" si="203"/>
        <v>0</v>
      </c>
      <c r="AS113" s="310"/>
      <c r="AT113" s="311">
        <f t="shared" si="204"/>
        <v>0</v>
      </c>
      <c r="AU113" s="306"/>
      <c r="AV113" s="312">
        <f t="shared" si="205"/>
        <v>0</v>
      </c>
      <c r="AW113" s="310"/>
      <c r="AX113" s="310">
        <f t="shared" si="206"/>
        <v>0</v>
      </c>
      <c r="AY113" s="308"/>
      <c r="AZ113" s="309">
        <f t="shared" si="207"/>
        <v>0</v>
      </c>
      <c r="BA113" s="306"/>
      <c r="BB113" s="312">
        <f t="shared" si="208"/>
        <v>0</v>
      </c>
      <c r="BC113" s="308"/>
      <c r="BD113" s="308">
        <f t="shared" si="209"/>
        <v>0</v>
      </c>
      <c r="BE113" s="310"/>
      <c r="BF113" s="311">
        <f t="shared" si="210"/>
        <v>0</v>
      </c>
      <c r="BG113" s="306"/>
      <c r="BH113" s="312">
        <f t="shared" si="211"/>
        <v>0</v>
      </c>
      <c r="BI113" s="308"/>
      <c r="BJ113" s="308">
        <f t="shared" si="212"/>
        <v>0</v>
      </c>
      <c r="BK113" s="310"/>
      <c r="BL113" s="311">
        <f t="shared" si="213"/>
        <v>0</v>
      </c>
    </row>
    <row r="114" spans="2:64" s="188" customFormat="1" ht="37" customHeight="1" x14ac:dyDescent="0.35">
      <c r="B114" s="300" t="str">
        <f>IF(ISBLANK($E114)," ",IF(AND(COUNTA(E$113:$E114)+64&gt;72,COUNTA(E$113:$E114)+64&lt;78),CHAR(COUNTA(E$113:$E114)+65),IF(COUNTA(E$113:$E114)+64&gt;77,CHAR(COUNTA(E$113:$E114)+66),CHAR(COUNTA(E$113:$E114)+64))))</f>
        <v>B</v>
      </c>
      <c r="C114" s="315" t="s">
        <v>202</v>
      </c>
      <c r="D114" s="302" t="s">
        <v>203</v>
      </c>
      <c r="E114" s="303">
        <v>270</v>
      </c>
      <c r="F114" s="304">
        <v>153.9</v>
      </c>
      <c r="G114" s="305">
        <v>66638.7</v>
      </c>
      <c r="H114" s="306">
        <v>111</v>
      </c>
      <c r="I114" s="307">
        <v>270</v>
      </c>
      <c r="J114" s="308">
        <f t="shared" si="188"/>
        <v>29970</v>
      </c>
      <c r="K114" s="308"/>
      <c r="L114" s="308">
        <f t="shared" si="189"/>
        <v>0</v>
      </c>
      <c r="M114" s="308"/>
      <c r="N114" s="309">
        <f t="shared" si="190"/>
        <v>0</v>
      </c>
      <c r="O114" s="310"/>
      <c r="P114" s="311">
        <f t="shared" si="191"/>
        <v>0</v>
      </c>
      <c r="Q114" s="310">
        <v>126</v>
      </c>
      <c r="R114" s="311">
        <f t="shared" si="192"/>
        <v>34020</v>
      </c>
      <c r="S114" s="310"/>
      <c r="T114" s="311">
        <f t="shared" si="193"/>
        <v>0</v>
      </c>
      <c r="U114" s="306">
        <v>194</v>
      </c>
      <c r="V114" s="307">
        <v>433</v>
      </c>
      <c r="W114" s="308">
        <f t="shared" si="194"/>
        <v>84002</v>
      </c>
      <c r="X114" s="307"/>
      <c r="Y114" s="308">
        <f t="shared" si="195"/>
        <v>0</v>
      </c>
      <c r="Z114" s="307"/>
      <c r="AA114" s="308">
        <f t="shared" si="196"/>
        <v>0</v>
      </c>
      <c r="AB114" s="307"/>
      <c r="AC114" s="308">
        <f t="shared" si="197"/>
        <v>0</v>
      </c>
      <c r="AD114" s="313"/>
      <c r="AE114" s="311">
        <f t="shared" si="198"/>
        <v>0</v>
      </c>
      <c r="AF114" s="306">
        <v>320</v>
      </c>
      <c r="AG114" s="314">
        <v>270</v>
      </c>
      <c r="AH114" s="312">
        <f>AF114*$AG114</f>
        <v>86400</v>
      </c>
      <c r="AI114" s="310"/>
      <c r="AJ114" s="311">
        <f t="shared" si="199"/>
        <v>0</v>
      </c>
      <c r="AK114" s="306"/>
      <c r="AL114" s="308">
        <f t="shared" si="200"/>
        <v>0</v>
      </c>
      <c r="AM114" s="307"/>
      <c r="AN114" s="308">
        <f t="shared" si="201"/>
        <v>0</v>
      </c>
      <c r="AO114" s="308"/>
      <c r="AP114" s="308">
        <f t="shared" si="202"/>
        <v>0</v>
      </c>
      <c r="AQ114" s="308"/>
      <c r="AR114" s="308">
        <f t="shared" si="203"/>
        <v>0</v>
      </c>
      <c r="AS114" s="310"/>
      <c r="AT114" s="311">
        <f t="shared" si="204"/>
        <v>0</v>
      </c>
      <c r="AU114" s="306"/>
      <c r="AV114" s="312">
        <f t="shared" si="205"/>
        <v>0</v>
      </c>
      <c r="AW114" s="310"/>
      <c r="AX114" s="310">
        <f t="shared" si="206"/>
        <v>0</v>
      </c>
      <c r="AY114" s="308"/>
      <c r="AZ114" s="309">
        <f t="shared" si="207"/>
        <v>0</v>
      </c>
      <c r="BA114" s="306"/>
      <c r="BB114" s="312">
        <f t="shared" si="208"/>
        <v>0</v>
      </c>
      <c r="BC114" s="308"/>
      <c r="BD114" s="308">
        <f t="shared" si="209"/>
        <v>0</v>
      </c>
      <c r="BE114" s="310"/>
      <c r="BF114" s="311">
        <f t="shared" si="210"/>
        <v>0</v>
      </c>
      <c r="BG114" s="306"/>
      <c r="BH114" s="312">
        <f t="shared" si="211"/>
        <v>0</v>
      </c>
      <c r="BI114" s="308"/>
      <c r="BJ114" s="308">
        <f t="shared" si="212"/>
        <v>0</v>
      </c>
      <c r="BK114" s="310"/>
      <c r="BL114" s="311">
        <f t="shared" si="213"/>
        <v>0</v>
      </c>
    </row>
    <row r="115" spans="2:64" s="188" customFormat="1" ht="40" customHeight="1" x14ac:dyDescent="0.35">
      <c r="B115" s="300"/>
      <c r="C115" s="301" t="s">
        <v>204</v>
      </c>
      <c r="D115" s="329"/>
      <c r="E115" s="330"/>
      <c r="F115" s="331"/>
      <c r="G115" s="305"/>
      <c r="H115" s="332"/>
      <c r="I115" s="333"/>
      <c r="J115" s="340"/>
      <c r="K115" s="334"/>
      <c r="L115" s="334"/>
      <c r="M115" s="334"/>
      <c r="N115" s="335"/>
      <c r="O115" s="336"/>
      <c r="P115" s="337"/>
      <c r="Q115" s="336"/>
      <c r="R115" s="337"/>
      <c r="S115" s="336"/>
      <c r="T115" s="337"/>
      <c r="U115" s="332"/>
      <c r="V115" s="338"/>
      <c r="W115" s="339">
        <f t="shared" si="194"/>
        <v>0</v>
      </c>
      <c r="X115" s="334"/>
      <c r="Y115" s="339"/>
      <c r="Z115" s="334"/>
      <c r="AA115" s="339"/>
      <c r="AB115" s="308"/>
      <c r="AC115" s="334"/>
      <c r="AD115" s="310"/>
      <c r="AE115" s="337"/>
      <c r="AF115" s="332"/>
      <c r="AG115" s="338"/>
      <c r="AH115" s="339">
        <f t="shared" ref="AH115:AH129" si="214">AF115*$AG115</f>
        <v>0</v>
      </c>
      <c r="AI115" s="336"/>
      <c r="AJ115" s="337"/>
      <c r="AK115" s="332"/>
      <c r="AL115" s="334"/>
      <c r="AM115" s="333"/>
      <c r="AN115" s="334"/>
      <c r="AO115" s="334"/>
      <c r="AP115" s="334"/>
      <c r="AQ115" s="340"/>
      <c r="AR115" s="334"/>
      <c r="AS115" s="336"/>
      <c r="AT115" s="337"/>
      <c r="AU115" s="332"/>
      <c r="AV115" s="339"/>
      <c r="AW115" s="336"/>
      <c r="AX115" s="336"/>
      <c r="AY115" s="334"/>
      <c r="AZ115" s="335"/>
      <c r="BA115" s="332"/>
      <c r="BB115" s="339"/>
      <c r="BC115" s="334"/>
      <c r="BD115" s="339"/>
      <c r="BE115" s="336"/>
      <c r="BF115" s="337"/>
      <c r="BG115" s="332"/>
      <c r="BH115" s="341"/>
      <c r="BI115" s="334"/>
      <c r="BJ115" s="340"/>
      <c r="BK115" s="336"/>
      <c r="BL115" s="337"/>
    </row>
    <row r="116" spans="2:64" s="188" customFormat="1" ht="74" customHeight="1" x14ac:dyDescent="0.35">
      <c r="B116" s="300"/>
      <c r="C116" s="315" t="s">
        <v>205</v>
      </c>
      <c r="D116" s="329"/>
      <c r="E116" s="330"/>
      <c r="F116" s="331"/>
      <c r="G116" s="305"/>
      <c r="H116" s="332">
        <v>262383</v>
      </c>
      <c r="I116" s="333">
        <v>1</v>
      </c>
      <c r="J116" s="334">
        <f>H116*$I116</f>
        <v>262383</v>
      </c>
      <c r="K116" s="334"/>
      <c r="L116" s="334"/>
      <c r="M116" s="334"/>
      <c r="N116" s="335"/>
      <c r="O116" s="336"/>
      <c r="P116" s="337"/>
      <c r="Q116" s="336"/>
      <c r="R116" s="337"/>
      <c r="S116" s="336"/>
      <c r="T116" s="337"/>
      <c r="U116" s="332">
        <v>225000</v>
      </c>
      <c r="V116" s="338">
        <v>1</v>
      </c>
      <c r="W116" s="339">
        <f t="shared" si="194"/>
        <v>225000</v>
      </c>
      <c r="X116" s="334"/>
      <c r="Y116" s="339"/>
      <c r="Z116" s="334"/>
      <c r="AA116" s="339"/>
      <c r="AB116" s="308"/>
      <c r="AC116" s="334"/>
      <c r="AD116" s="310"/>
      <c r="AE116" s="337"/>
      <c r="AF116" s="332">
        <v>10000</v>
      </c>
      <c r="AG116" s="338">
        <v>1</v>
      </c>
      <c r="AH116" s="339">
        <f t="shared" si="214"/>
        <v>10000</v>
      </c>
      <c r="AI116" s="336"/>
      <c r="AJ116" s="337"/>
      <c r="AK116" s="332"/>
      <c r="AL116" s="334"/>
      <c r="AM116" s="333"/>
      <c r="AN116" s="334"/>
      <c r="AO116" s="334"/>
      <c r="AP116" s="334"/>
      <c r="AQ116" s="340"/>
      <c r="AR116" s="334"/>
      <c r="AS116" s="336"/>
      <c r="AT116" s="337"/>
      <c r="AU116" s="332"/>
      <c r="AV116" s="339"/>
      <c r="AW116" s="336"/>
      <c r="AX116" s="336"/>
      <c r="AY116" s="334"/>
      <c r="AZ116" s="335"/>
      <c r="BA116" s="332"/>
      <c r="BB116" s="339"/>
      <c r="BC116" s="334"/>
      <c r="BD116" s="339"/>
      <c r="BE116" s="336"/>
      <c r="BF116" s="337"/>
      <c r="BG116" s="332"/>
      <c r="BH116" s="341"/>
      <c r="BI116" s="334"/>
      <c r="BJ116" s="340"/>
      <c r="BK116" s="336"/>
      <c r="BL116" s="337"/>
    </row>
    <row r="117" spans="2:64" s="188" customFormat="1" ht="75.5" customHeight="1" x14ac:dyDescent="0.35">
      <c r="B117" s="300"/>
      <c r="C117" s="315" t="s">
        <v>206</v>
      </c>
      <c r="D117" s="329" t="s">
        <v>207</v>
      </c>
      <c r="E117" s="330">
        <v>1</v>
      </c>
      <c r="F117" s="331"/>
      <c r="G117" s="305"/>
      <c r="H117" s="332">
        <v>357686</v>
      </c>
      <c r="I117" s="333">
        <v>1</v>
      </c>
      <c r="J117" s="334">
        <f>H117*$I117</f>
        <v>357686</v>
      </c>
      <c r="K117" s="334"/>
      <c r="L117" s="334"/>
      <c r="M117" s="334"/>
      <c r="N117" s="335"/>
      <c r="O117" s="336"/>
      <c r="P117" s="337"/>
      <c r="Q117" s="336">
        <v>292000</v>
      </c>
      <c r="R117" s="337">
        <f>Q117*$E117</f>
        <v>292000</v>
      </c>
      <c r="S117" s="336"/>
      <c r="T117" s="337">
        <f>S117*$E117</f>
        <v>0</v>
      </c>
      <c r="U117" s="332">
        <v>262383</v>
      </c>
      <c r="V117" s="338">
        <v>1</v>
      </c>
      <c r="W117" s="339">
        <f t="shared" si="194"/>
        <v>262383</v>
      </c>
      <c r="X117" s="334"/>
      <c r="Y117" s="339"/>
      <c r="Z117" s="334"/>
      <c r="AA117" s="339"/>
      <c r="AB117" s="308"/>
      <c r="AC117" s="334"/>
      <c r="AD117" s="310"/>
      <c r="AE117" s="337"/>
      <c r="AF117" s="332">
        <v>195000</v>
      </c>
      <c r="AG117" s="338">
        <v>1</v>
      </c>
      <c r="AH117" s="339">
        <f t="shared" si="214"/>
        <v>195000</v>
      </c>
      <c r="AI117" s="336"/>
      <c r="AJ117" s="337"/>
      <c r="AK117" s="332"/>
      <c r="AL117" s="334"/>
      <c r="AM117" s="333"/>
      <c r="AN117" s="334"/>
      <c r="AO117" s="334"/>
      <c r="AP117" s="334"/>
      <c r="AQ117" s="340"/>
      <c r="AR117" s="334"/>
      <c r="AS117" s="336"/>
      <c r="AT117" s="337"/>
      <c r="AU117" s="332"/>
      <c r="AV117" s="339"/>
      <c r="AW117" s="336"/>
      <c r="AX117" s="336"/>
      <c r="AY117" s="334"/>
      <c r="AZ117" s="335"/>
      <c r="BA117" s="332"/>
      <c r="BB117" s="339"/>
      <c r="BC117" s="334"/>
      <c r="BD117" s="339"/>
      <c r="BE117" s="336"/>
      <c r="BF117" s="337"/>
      <c r="BG117" s="332"/>
      <c r="BH117" s="341"/>
      <c r="BI117" s="334"/>
      <c r="BJ117" s="340"/>
      <c r="BK117" s="336"/>
      <c r="BL117" s="337"/>
    </row>
    <row r="118" spans="2:64" s="188" customFormat="1" ht="75.5" customHeight="1" x14ac:dyDescent="0.35">
      <c r="B118" s="300"/>
      <c r="C118" s="315" t="s">
        <v>208</v>
      </c>
      <c r="D118" s="329"/>
      <c r="E118" s="330"/>
      <c r="F118" s="331"/>
      <c r="G118" s="305"/>
      <c r="H118" s="332"/>
      <c r="I118" s="333"/>
      <c r="J118" s="334"/>
      <c r="K118" s="334"/>
      <c r="L118" s="334"/>
      <c r="M118" s="334"/>
      <c r="N118" s="335"/>
      <c r="O118" s="336"/>
      <c r="P118" s="337"/>
      <c r="Q118" s="336"/>
      <c r="R118" s="337"/>
      <c r="S118" s="336"/>
      <c r="T118" s="337"/>
      <c r="U118" s="332">
        <v>61070</v>
      </c>
      <c r="V118" s="338">
        <v>1</v>
      </c>
      <c r="W118" s="339">
        <f t="shared" si="194"/>
        <v>61070</v>
      </c>
      <c r="X118" s="334"/>
      <c r="Y118" s="339"/>
      <c r="Z118" s="334"/>
      <c r="AA118" s="339"/>
      <c r="AB118" s="308"/>
      <c r="AC118" s="334"/>
      <c r="AD118" s="310"/>
      <c r="AE118" s="337"/>
      <c r="AF118" s="332">
        <v>60000</v>
      </c>
      <c r="AG118" s="338">
        <v>1</v>
      </c>
      <c r="AH118" s="339">
        <f t="shared" si="214"/>
        <v>60000</v>
      </c>
      <c r="AI118" s="336"/>
      <c r="AJ118" s="337"/>
      <c r="AK118" s="332"/>
      <c r="AL118" s="334"/>
      <c r="AM118" s="333"/>
      <c r="AN118" s="334"/>
      <c r="AO118" s="334"/>
      <c r="AP118" s="334"/>
      <c r="AQ118" s="340"/>
      <c r="AR118" s="334"/>
      <c r="AS118" s="336"/>
      <c r="AT118" s="337"/>
      <c r="AU118" s="332"/>
      <c r="AV118" s="339"/>
      <c r="AW118" s="336"/>
      <c r="AX118" s="336"/>
      <c r="AY118" s="334"/>
      <c r="AZ118" s="335"/>
      <c r="BA118" s="332"/>
      <c r="BB118" s="339"/>
      <c r="BC118" s="334"/>
      <c r="BD118" s="339"/>
      <c r="BE118" s="336"/>
      <c r="BF118" s="337"/>
      <c r="BG118" s="332"/>
      <c r="BH118" s="341"/>
      <c r="BI118" s="334"/>
      <c r="BJ118" s="340"/>
      <c r="BK118" s="336"/>
      <c r="BL118" s="337"/>
    </row>
    <row r="119" spans="2:64" s="188" customFormat="1" ht="34.5" customHeight="1" x14ac:dyDescent="0.35">
      <c r="B119" s="300"/>
      <c r="C119" s="315" t="s">
        <v>209</v>
      </c>
      <c r="D119" s="329" t="s">
        <v>207</v>
      </c>
      <c r="E119" s="330">
        <v>1</v>
      </c>
      <c r="F119" s="331"/>
      <c r="G119" s="305"/>
      <c r="H119" s="332"/>
      <c r="I119" s="333">
        <v>1</v>
      </c>
      <c r="J119" s="334"/>
      <c r="K119" s="334"/>
      <c r="L119" s="334"/>
      <c r="M119" s="334"/>
      <c r="N119" s="335"/>
      <c r="O119" s="336"/>
      <c r="P119" s="337"/>
      <c r="Q119" s="336"/>
      <c r="R119" s="337">
        <f>Q119*$E119</f>
        <v>0</v>
      </c>
      <c r="S119" s="336"/>
      <c r="T119" s="337">
        <f>S119*$E119</f>
        <v>0</v>
      </c>
      <c r="U119" s="332"/>
      <c r="V119" s="338">
        <v>1</v>
      </c>
      <c r="W119" s="339">
        <f t="shared" si="194"/>
        <v>0</v>
      </c>
      <c r="X119" s="334"/>
      <c r="Y119" s="339"/>
      <c r="Z119" s="334"/>
      <c r="AA119" s="339"/>
      <c r="AB119" s="308"/>
      <c r="AC119" s="334"/>
      <c r="AD119" s="310"/>
      <c r="AE119" s="337"/>
      <c r="AF119" s="332">
        <v>120000</v>
      </c>
      <c r="AG119" s="338">
        <v>1</v>
      </c>
      <c r="AH119" s="339">
        <f t="shared" si="214"/>
        <v>120000</v>
      </c>
      <c r="AI119" s="336"/>
      <c r="AJ119" s="337"/>
      <c r="AK119" s="332"/>
      <c r="AL119" s="334"/>
      <c r="AM119" s="333"/>
      <c r="AN119" s="334"/>
      <c r="AO119" s="334"/>
      <c r="AP119" s="334"/>
      <c r="AQ119" s="340"/>
      <c r="AR119" s="334"/>
      <c r="AS119" s="336"/>
      <c r="AT119" s="337"/>
      <c r="AU119" s="332"/>
      <c r="AV119" s="339"/>
      <c r="AW119" s="336"/>
      <c r="AX119" s="336"/>
      <c r="AY119" s="334"/>
      <c r="AZ119" s="335"/>
      <c r="BA119" s="332"/>
      <c r="BB119" s="339"/>
      <c r="BC119" s="334"/>
      <c r="BD119" s="339"/>
      <c r="BE119" s="336"/>
      <c r="BF119" s="337"/>
      <c r="BG119" s="332"/>
      <c r="BH119" s="341"/>
      <c r="BI119" s="334"/>
      <c r="BJ119" s="340"/>
      <c r="BK119" s="336"/>
      <c r="BL119" s="337"/>
    </row>
    <row r="120" spans="2:64" s="188" customFormat="1" ht="34.5" customHeight="1" x14ac:dyDescent="0.35">
      <c r="B120" s="300"/>
      <c r="C120" s="315" t="s">
        <v>210</v>
      </c>
      <c r="D120" s="329" t="s">
        <v>211</v>
      </c>
      <c r="E120" s="330">
        <v>8</v>
      </c>
      <c r="F120" s="331"/>
      <c r="G120" s="305"/>
      <c r="H120" s="332"/>
      <c r="I120" s="333"/>
      <c r="J120" s="334"/>
      <c r="K120" s="334"/>
      <c r="L120" s="334"/>
      <c r="M120" s="334"/>
      <c r="N120" s="335"/>
      <c r="O120" s="336"/>
      <c r="P120" s="337"/>
      <c r="Q120" s="336"/>
      <c r="R120" s="337">
        <f>Q120*$E120</f>
        <v>0</v>
      </c>
      <c r="S120" s="336"/>
      <c r="T120" s="337">
        <f>S120*$E120</f>
        <v>0</v>
      </c>
      <c r="U120" s="332">
        <v>348</v>
      </c>
      <c r="V120" s="338">
        <v>8</v>
      </c>
      <c r="W120" s="339">
        <f t="shared" si="194"/>
        <v>2784</v>
      </c>
      <c r="X120" s="334"/>
      <c r="Y120" s="339"/>
      <c r="Z120" s="334"/>
      <c r="AA120" s="339"/>
      <c r="AB120" s="308"/>
      <c r="AC120" s="334"/>
      <c r="AD120" s="310"/>
      <c r="AE120" s="337"/>
      <c r="AF120" s="332">
        <v>373</v>
      </c>
      <c r="AG120" s="338">
        <v>8</v>
      </c>
      <c r="AH120" s="339">
        <f t="shared" si="214"/>
        <v>2984</v>
      </c>
      <c r="AI120" s="336"/>
      <c r="AJ120" s="337"/>
      <c r="AK120" s="332"/>
      <c r="AL120" s="334"/>
      <c r="AM120" s="333"/>
      <c r="AN120" s="334"/>
      <c r="AO120" s="334"/>
      <c r="AP120" s="334"/>
      <c r="AQ120" s="340"/>
      <c r="AR120" s="334"/>
      <c r="AS120" s="336"/>
      <c r="AT120" s="337"/>
      <c r="AU120" s="332"/>
      <c r="AV120" s="339"/>
      <c r="AW120" s="336"/>
      <c r="AX120" s="336"/>
      <c r="AY120" s="334"/>
      <c r="AZ120" s="335"/>
      <c r="BA120" s="332"/>
      <c r="BB120" s="339"/>
      <c r="BC120" s="334"/>
      <c r="BD120" s="339"/>
      <c r="BE120" s="336"/>
      <c r="BF120" s="337"/>
      <c r="BG120" s="332"/>
      <c r="BH120" s="341"/>
      <c r="BI120" s="334"/>
      <c r="BJ120" s="340"/>
      <c r="BK120" s="336"/>
      <c r="BL120" s="337"/>
    </row>
    <row r="121" spans="2:64" s="188" customFormat="1" ht="34.5" customHeight="1" x14ac:dyDescent="0.35">
      <c r="B121" s="300"/>
      <c r="C121" s="315" t="s">
        <v>212</v>
      </c>
      <c r="D121" s="329"/>
      <c r="E121" s="330"/>
      <c r="F121" s="331"/>
      <c r="G121" s="305"/>
      <c r="H121" s="332"/>
      <c r="I121" s="333"/>
      <c r="J121" s="334"/>
      <c r="K121" s="334"/>
      <c r="L121" s="334"/>
      <c r="M121" s="334"/>
      <c r="N121" s="335"/>
      <c r="O121" s="336"/>
      <c r="P121" s="337"/>
      <c r="Q121" s="336"/>
      <c r="R121" s="337"/>
      <c r="S121" s="336"/>
      <c r="T121" s="337"/>
      <c r="U121" s="332">
        <v>186</v>
      </c>
      <c r="V121" s="338">
        <v>47</v>
      </c>
      <c r="W121" s="339">
        <f t="shared" si="194"/>
        <v>8742</v>
      </c>
      <c r="X121" s="334"/>
      <c r="Y121" s="339"/>
      <c r="Z121" s="334"/>
      <c r="AA121" s="339"/>
      <c r="AB121" s="308"/>
      <c r="AC121" s="334"/>
      <c r="AD121" s="310"/>
      <c r="AE121" s="337"/>
      <c r="AF121" s="332"/>
      <c r="AG121" s="338"/>
      <c r="AH121" s="339" t="s">
        <v>213</v>
      </c>
      <c r="AI121" s="336"/>
      <c r="AJ121" s="337"/>
      <c r="AK121" s="332"/>
      <c r="AL121" s="334"/>
      <c r="AM121" s="333"/>
      <c r="AN121" s="334"/>
      <c r="AO121" s="334"/>
      <c r="AP121" s="334"/>
      <c r="AQ121" s="340"/>
      <c r="AR121" s="334"/>
      <c r="AS121" s="336"/>
      <c r="AT121" s="337"/>
      <c r="AU121" s="332"/>
      <c r="AV121" s="339"/>
      <c r="AW121" s="336"/>
      <c r="AX121" s="336"/>
      <c r="AY121" s="334"/>
      <c r="AZ121" s="335"/>
      <c r="BA121" s="332"/>
      <c r="BB121" s="339"/>
      <c r="BC121" s="334"/>
      <c r="BD121" s="339"/>
      <c r="BE121" s="336"/>
      <c r="BF121" s="337"/>
      <c r="BG121" s="332"/>
      <c r="BH121" s="341"/>
      <c r="BI121" s="334"/>
      <c r="BJ121" s="340"/>
      <c r="BK121" s="336"/>
      <c r="BL121" s="337"/>
    </row>
    <row r="122" spans="2:64" s="188" customFormat="1" ht="36.5" customHeight="1" x14ac:dyDescent="0.35">
      <c r="B122" s="300"/>
      <c r="C122" s="315" t="s">
        <v>214</v>
      </c>
      <c r="D122" s="329"/>
      <c r="E122" s="330"/>
      <c r="F122" s="331"/>
      <c r="G122" s="305"/>
      <c r="H122" s="332"/>
      <c r="I122" s="333"/>
      <c r="J122" s="334"/>
      <c r="K122" s="334"/>
      <c r="L122" s="334"/>
      <c r="M122" s="334"/>
      <c r="N122" s="335"/>
      <c r="O122" s="336"/>
      <c r="P122" s="337"/>
      <c r="Q122" s="336"/>
      <c r="R122" s="337">
        <f>Q122*$E122</f>
        <v>0</v>
      </c>
      <c r="S122" s="336"/>
      <c r="T122" s="337">
        <f>S122*$E122</f>
        <v>0</v>
      </c>
      <c r="U122" s="332">
        <v>68</v>
      </c>
      <c r="V122" s="338">
        <v>155</v>
      </c>
      <c r="W122" s="339">
        <f t="shared" si="194"/>
        <v>10540</v>
      </c>
      <c r="X122" s="334"/>
      <c r="Y122" s="339"/>
      <c r="Z122" s="334"/>
      <c r="AA122" s="339"/>
      <c r="AB122" s="308"/>
      <c r="AC122" s="334"/>
      <c r="AD122" s="310"/>
      <c r="AE122" s="337"/>
      <c r="AF122" s="332"/>
      <c r="AG122" s="338"/>
      <c r="AH122" s="339" t="s">
        <v>213</v>
      </c>
      <c r="AI122" s="336"/>
      <c r="AJ122" s="337"/>
      <c r="AK122" s="332"/>
      <c r="AL122" s="334"/>
      <c r="AM122" s="333"/>
      <c r="AN122" s="334"/>
      <c r="AO122" s="334"/>
      <c r="AP122" s="334"/>
      <c r="AQ122" s="334"/>
      <c r="AR122" s="334"/>
      <c r="AS122" s="336"/>
      <c r="AT122" s="337"/>
      <c r="AU122" s="332"/>
      <c r="AV122" s="339"/>
      <c r="AW122" s="336"/>
      <c r="AX122" s="336"/>
      <c r="AY122" s="334"/>
      <c r="AZ122" s="335"/>
      <c r="BA122" s="332"/>
      <c r="BB122" s="339"/>
      <c r="BC122" s="334"/>
      <c r="BD122" s="339"/>
      <c r="BE122" s="336"/>
      <c r="BF122" s="337"/>
      <c r="BG122" s="332"/>
      <c r="BH122" s="341"/>
      <c r="BI122" s="334"/>
      <c r="BJ122" s="340"/>
      <c r="BK122" s="336"/>
      <c r="BL122" s="337"/>
    </row>
    <row r="123" spans="2:64" s="188" customFormat="1" ht="62" customHeight="1" x14ac:dyDescent="0.35">
      <c r="B123" s="300"/>
      <c r="C123" s="315" t="s">
        <v>215</v>
      </c>
      <c r="D123" s="329" t="s">
        <v>135</v>
      </c>
      <c r="E123" s="330">
        <v>129</v>
      </c>
      <c r="F123" s="331"/>
      <c r="G123" s="305"/>
      <c r="H123" s="332"/>
      <c r="I123" s="333">
        <v>129</v>
      </c>
      <c r="J123" s="334"/>
      <c r="K123" s="334"/>
      <c r="L123" s="334"/>
      <c r="M123" s="334"/>
      <c r="N123" s="335"/>
      <c r="O123" s="336"/>
      <c r="P123" s="337"/>
      <c r="Q123" s="336"/>
      <c r="R123" s="337">
        <f>Q123*$E123</f>
        <v>0</v>
      </c>
      <c r="S123" s="336"/>
      <c r="T123" s="337">
        <f>S123*$E123</f>
        <v>0</v>
      </c>
      <c r="U123" s="332"/>
      <c r="V123" s="338">
        <v>129</v>
      </c>
      <c r="W123" s="339">
        <f t="shared" si="194"/>
        <v>0</v>
      </c>
      <c r="X123" s="334"/>
      <c r="Y123" s="339"/>
      <c r="Z123" s="334"/>
      <c r="AA123" s="339"/>
      <c r="AB123" s="308"/>
      <c r="AC123" s="334"/>
      <c r="AD123" s="310"/>
      <c r="AE123" s="337"/>
      <c r="AF123" s="332">
        <f>7611/129</f>
        <v>59</v>
      </c>
      <c r="AG123" s="338">
        <v>129</v>
      </c>
      <c r="AH123" s="339">
        <f t="shared" si="214"/>
        <v>7611</v>
      </c>
      <c r="AI123" s="336"/>
      <c r="AJ123" s="337"/>
      <c r="AK123" s="332"/>
      <c r="AL123" s="334"/>
      <c r="AM123" s="333"/>
      <c r="AN123" s="334"/>
      <c r="AO123" s="334"/>
      <c r="AP123" s="334"/>
      <c r="AQ123" s="334"/>
      <c r="AR123" s="334"/>
      <c r="AS123" s="336"/>
      <c r="AT123" s="337"/>
      <c r="AU123" s="332"/>
      <c r="AV123" s="339"/>
      <c r="AW123" s="336"/>
      <c r="AX123" s="336"/>
      <c r="AY123" s="334"/>
      <c r="AZ123" s="335"/>
      <c r="BA123" s="332"/>
      <c r="BB123" s="339"/>
      <c r="BC123" s="334"/>
      <c r="BD123" s="339"/>
      <c r="BE123" s="336"/>
      <c r="BF123" s="337"/>
      <c r="BG123" s="332"/>
      <c r="BH123" s="341"/>
      <c r="BI123" s="334"/>
      <c r="BJ123" s="340"/>
      <c r="BK123" s="336"/>
      <c r="BL123" s="337"/>
    </row>
    <row r="124" spans="2:64" s="188" customFormat="1" ht="40" customHeight="1" x14ac:dyDescent="0.35">
      <c r="B124" s="300"/>
      <c r="C124" s="315" t="s">
        <v>216</v>
      </c>
      <c r="D124" s="329" t="s">
        <v>135</v>
      </c>
      <c r="E124" s="330">
        <v>40</v>
      </c>
      <c r="F124" s="331"/>
      <c r="G124" s="305"/>
      <c r="H124" s="332"/>
      <c r="I124" s="333">
        <v>40</v>
      </c>
      <c r="J124" s="334"/>
      <c r="K124" s="334"/>
      <c r="L124" s="334"/>
      <c r="M124" s="334"/>
      <c r="N124" s="335"/>
      <c r="O124" s="336"/>
      <c r="P124" s="337"/>
      <c r="Q124" s="336"/>
      <c r="R124" s="337">
        <f>Q124*$E124</f>
        <v>0</v>
      </c>
      <c r="S124" s="336"/>
      <c r="T124" s="337">
        <f>S124*$E124</f>
        <v>0</v>
      </c>
      <c r="U124" s="332"/>
      <c r="V124" s="338">
        <v>40</v>
      </c>
      <c r="W124" s="339">
        <f t="shared" si="194"/>
        <v>0</v>
      </c>
      <c r="X124" s="334"/>
      <c r="Y124" s="339"/>
      <c r="Z124" s="334"/>
      <c r="AA124" s="339"/>
      <c r="AB124" s="308"/>
      <c r="AC124" s="334"/>
      <c r="AD124" s="310"/>
      <c r="AE124" s="337"/>
      <c r="AF124" s="332">
        <v>59</v>
      </c>
      <c r="AG124" s="338">
        <v>40</v>
      </c>
      <c r="AH124" s="339">
        <f t="shared" si="214"/>
        <v>2360</v>
      </c>
      <c r="AI124" s="336"/>
      <c r="AJ124" s="337"/>
      <c r="AK124" s="332"/>
      <c r="AL124" s="334"/>
      <c r="AM124" s="333"/>
      <c r="AN124" s="334"/>
      <c r="AO124" s="334"/>
      <c r="AP124" s="334"/>
      <c r="AQ124" s="334"/>
      <c r="AR124" s="334"/>
      <c r="AS124" s="336"/>
      <c r="AT124" s="337"/>
      <c r="AU124" s="332"/>
      <c r="AV124" s="339"/>
      <c r="AW124" s="336"/>
      <c r="AX124" s="336"/>
      <c r="AY124" s="334"/>
      <c r="AZ124" s="335"/>
      <c r="BA124" s="332"/>
      <c r="BB124" s="339"/>
      <c r="BC124" s="334"/>
      <c r="BD124" s="339"/>
      <c r="BE124" s="336"/>
      <c r="BF124" s="337"/>
      <c r="BG124" s="332"/>
      <c r="BH124" s="341"/>
      <c r="BI124" s="334"/>
      <c r="BJ124" s="340"/>
      <c r="BK124" s="336"/>
      <c r="BL124" s="337"/>
    </row>
    <row r="125" spans="2:64" s="188" customFormat="1" ht="40" customHeight="1" x14ac:dyDescent="0.35">
      <c r="B125" s="300"/>
      <c r="C125" s="315" t="s">
        <v>217</v>
      </c>
      <c r="D125" s="329" t="s">
        <v>135</v>
      </c>
      <c r="E125" s="330">
        <v>113</v>
      </c>
      <c r="F125" s="331"/>
      <c r="G125" s="305"/>
      <c r="H125" s="332"/>
      <c r="I125" s="333">
        <v>113</v>
      </c>
      <c r="J125" s="334"/>
      <c r="K125" s="334"/>
      <c r="L125" s="334"/>
      <c r="M125" s="334"/>
      <c r="N125" s="335"/>
      <c r="O125" s="336"/>
      <c r="P125" s="337"/>
      <c r="Q125" s="336"/>
      <c r="R125" s="337">
        <f>Q125*$E125</f>
        <v>0</v>
      </c>
      <c r="S125" s="336"/>
      <c r="T125" s="337">
        <f>S125*$E125</f>
        <v>0</v>
      </c>
      <c r="U125" s="332"/>
      <c r="V125" s="338">
        <v>113</v>
      </c>
      <c r="W125" s="339">
        <f t="shared" si="194"/>
        <v>0</v>
      </c>
      <c r="X125" s="334"/>
      <c r="Y125" s="339"/>
      <c r="Z125" s="334"/>
      <c r="AA125" s="339"/>
      <c r="AB125" s="308"/>
      <c r="AC125" s="334"/>
      <c r="AD125" s="310"/>
      <c r="AE125" s="337"/>
      <c r="AF125" s="332">
        <v>59</v>
      </c>
      <c r="AG125" s="338">
        <v>113</v>
      </c>
      <c r="AH125" s="339">
        <f t="shared" si="214"/>
        <v>6667</v>
      </c>
      <c r="AI125" s="336"/>
      <c r="AJ125" s="337"/>
      <c r="AK125" s="332"/>
      <c r="AL125" s="334"/>
      <c r="AM125" s="333"/>
      <c r="AN125" s="334"/>
      <c r="AO125" s="334"/>
      <c r="AP125" s="334"/>
      <c r="AQ125" s="334"/>
      <c r="AR125" s="334"/>
      <c r="AS125" s="336"/>
      <c r="AT125" s="337"/>
      <c r="AU125" s="332"/>
      <c r="AV125" s="339"/>
      <c r="AW125" s="336"/>
      <c r="AX125" s="336"/>
      <c r="AY125" s="334"/>
      <c r="AZ125" s="335"/>
      <c r="BA125" s="332"/>
      <c r="BB125" s="339"/>
      <c r="BC125" s="334"/>
      <c r="BD125" s="339"/>
      <c r="BE125" s="336"/>
      <c r="BF125" s="337"/>
      <c r="BG125" s="353"/>
      <c r="BH125" s="341"/>
      <c r="BI125" s="340"/>
      <c r="BJ125" s="340"/>
      <c r="BK125" s="336"/>
      <c r="BL125" s="337"/>
    </row>
    <row r="126" spans="2:64" s="188" customFormat="1" ht="42.5" customHeight="1" x14ac:dyDescent="0.35">
      <c r="B126" s="300"/>
      <c r="C126" s="315" t="s">
        <v>218</v>
      </c>
      <c r="D126" s="329" t="s">
        <v>135</v>
      </c>
      <c r="E126" s="330">
        <v>3</v>
      </c>
      <c r="F126" s="331"/>
      <c r="G126" s="305"/>
      <c r="H126" s="332"/>
      <c r="I126" s="333">
        <v>3</v>
      </c>
      <c r="J126" s="334"/>
      <c r="K126" s="334"/>
      <c r="L126" s="334"/>
      <c r="M126" s="334"/>
      <c r="N126" s="335"/>
      <c r="O126" s="336"/>
      <c r="P126" s="337"/>
      <c r="Q126" s="336"/>
      <c r="R126" s="337">
        <f>Q126*$E126</f>
        <v>0</v>
      </c>
      <c r="S126" s="336"/>
      <c r="T126" s="337">
        <f>S126*$E126</f>
        <v>0</v>
      </c>
      <c r="U126" s="332"/>
      <c r="V126" s="338">
        <v>3</v>
      </c>
      <c r="W126" s="339">
        <f t="shared" si="194"/>
        <v>0</v>
      </c>
      <c r="X126" s="334"/>
      <c r="Y126" s="339"/>
      <c r="Z126" s="334"/>
      <c r="AA126" s="339"/>
      <c r="AB126" s="308"/>
      <c r="AC126" s="334"/>
      <c r="AD126" s="310"/>
      <c r="AE126" s="337"/>
      <c r="AF126" s="332">
        <v>3974</v>
      </c>
      <c r="AG126" s="338">
        <v>3</v>
      </c>
      <c r="AH126" s="339">
        <f t="shared" si="214"/>
        <v>11922</v>
      </c>
      <c r="AI126" s="336"/>
      <c r="AJ126" s="337"/>
      <c r="AK126" s="332"/>
      <c r="AL126" s="334"/>
      <c r="AM126" s="333"/>
      <c r="AN126" s="334"/>
      <c r="AO126" s="334"/>
      <c r="AP126" s="334"/>
      <c r="AQ126" s="334"/>
      <c r="AR126" s="334"/>
      <c r="AS126" s="336"/>
      <c r="AT126" s="337"/>
      <c r="AU126" s="332"/>
      <c r="AV126" s="339"/>
      <c r="AW126" s="336"/>
      <c r="AX126" s="336"/>
      <c r="AY126" s="334"/>
      <c r="AZ126" s="335"/>
      <c r="BA126" s="332"/>
      <c r="BB126" s="339"/>
      <c r="BC126" s="334"/>
      <c r="BD126" s="339"/>
      <c r="BE126" s="336"/>
      <c r="BF126" s="337"/>
      <c r="BG126" s="353"/>
      <c r="BH126" s="341"/>
      <c r="BI126" s="340"/>
      <c r="BJ126" s="340"/>
      <c r="BK126" s="336"/>
      <c r="BL126" s="337"/>
    </row>
    <row r="127" spans="2:64" s="357" customFormat="1" ht="40" customHeight="1" x14ac:dyDescent="0.35">
      <c r="B127" s="300"/>
      <c r="C127" s="325" t="s">
        <v>219</v>
      </c>
      <c r="D127" s="354"/>
      <c r="E127" s="355"/>
      <c r="F127" s="356"/>
      <c r="G127" s="305"/>
      <c r="H127" s="332"/>
      <c r="I127" s="333"/>
      <c r="J127" s="334"/>
      <c r="K127" s="334"/>
      <c r="L127" s="334"/>
      <c r="M127" s="334"/>
      <c r="N127" s="335"/>
      <c r="O127" s="336"/>
      <c r="P127" s="337"/>
      <c r="Q127" s="336"/>
      <c r="R127" s="337">
        <f t="shared" ref="R127:R129" si="215">Q127*$E127</f>
        <v>0</v>
      </c>
      <c r="S127" s="336"/>
      <c r="T127" s="337">
        <f t="shared" ref="T127:T129" si="216">S127*$E127</f>
        <v>0</v>
      </c>
      <c r="U127" s="332"/>
      <c r="V127" s="338"/>
      <c r="W127" s="339">
        <f t="shared" si="194"/>
        <v>0</v>
      </c>
      <c r="X127" s="334"/>
      <c r="Y127" s="339"/>
      <c r="Z127" s="334"/>
      <c r="AA127" s="339"/>
      <c r="AB127" s="334"/>
      <c r="AC127" s="334"/>
      <c r="AD127" s="336"/>
      <c r="AE127" s="337"/>
      <c r="AF127" s="332"/>
      <c r="AG127" s="338"/>
      <c r="AH127" s="339">
        <f t="shared" si="214"/>
        <v>0</v>
      </c>
      <c r="AI127" s="336"/>
      <c r="AJ127" s="337"/>
      <c r="AK127" s="332"/>
      <c r="AL127" s="334"/>
      <c r="AM127" s="333"/>
      <c r="AN127" s="334"/>
      <c r="AO127" s="334"/>
      <c r="AP127" s="334"/>
      <c r="AQ127" s="334"/>
      <c r="AR127" s="334"/>
      <c r="AS127" s="336"/>
      <c r="AT127" s="337"/>
      <c r="AU127" s="332"/>
      <c r="AV127" s="339"/>
      <c r="AW127" s="336"/>
      <c r="AX127" s="336"/>
      <c r="AY127" s="334"/>
      <c r="AZ127" s="335"/>
      <c r="BA127" s="332"/>
      <c r="BB127" s="339"/>
      <c r="BC127" s="334"/>
      <c r="BD127" s="339"/>
      <c r="BE127" s="336"/>
      <c r="BF127" s="337"/>
      <c r="BG127" s="332"/>
      <c r="BH127" s="339"/>
      <c r="BI127" s="334"/>
      <c r="BJ127" s="334"/>
      <c r="BK127" s="336"/>
      <c r="BL127" s="337"/>
    </row>
    <row r="128" spans="2:64" s="357" customFormat="1" ht="40" customHeight="1" x14ac:dyDescent="0.35">
      <c r="B128" s="300"/>
      <c r="C128" s="325" t="s">
        <v>220</v>
      </c>
      <c r="D128" s="354"/>
      <c r="E128" s="355"/>
      <c r="F128" s="356"/>
      <c r="G128" s="305"/>
      <c r="H128" s="332"/>
      <c r="I128" s="333"/>
      <c r="J128" s="334"/>
      <c r="K128" s="334"/>
      <c r="L128" s="334"/>
      <c r="M128" s="334"/>
      <c r="N128" s="335"/>
      <c r="O128" s="336"/>
      <c r="P128" s="337"/>
      <c r="Q128" s="336"/>
      <c r="R128" s="337">
        <f t="shared" si="215"/>
        <v>0</v>
      </c>
      <c r="S128" s="336"/>
      <c r="T128" s="337">
        <f t="shared" si="216"/>
        <v>0</v>
      </c>
      <c r="U128" s="332"/>
      <c r="V128" s="338"/>
      <c r="W128" s="339">
        <f t="shared" si="194"/>
        <v>0</v>
      </c>
      <c r="X128" s="333"/>
      <c r="Y128" s="339"/>
      <c r="Z128" s="333"/>
      <c r="AA128" s="339"/>
      <c r="AB128" s="334"/>
      <c r="AC128" s="334"/>
      <c r="AD128" s="336"/>
      <c r="AE128" s="337"/>
      <c r="AF128" s="332"/>
      <c r="AG128" s="338"/>
      <c r="AH128" s="339">
        <f t="shared" si="214"/>
        <v>0</v>
      </c>
      <c r="AI128" s="336"/>
      <c r="AJ128" s="337"/>
      <c r="AK128" s="332"/>
      <c r="AL128" s="334"/>
      <c r="AM128" s="333"/>
      <c r="AN128" s="334"/>
      <c r="AO128" s="334"/>
      <c r="AP128" s="334"/>
      <c r="AQ128" s="334"/>
      <c r="AR128" s="334"/>
      <c r="AS128" s="336"/>
      <c r="AT128" s="337"/>
      <c r="AU128" s="332"/>
      <c r="AV128" s="339"/>
      <c r="AW128" s="336"/>
      <c r="AX128" s="336"/>
      <c r="AY128" s="334"/>
      <c r="AZ128" s="335"/>
      <c r="BA128" s="332"/>
      <c r="BB128" s="339"/>
      <c r="BC128" s="334"/>
      <c r="BD128" s="339"/>
      <c r="BE128" s="336"/>
      <c r="BF128" s="337"/>
      <c r="BG128" s="332"/>
      <c r="BH128" s="339"/>
      <c r="BI128" s="334"/>
      <c r="BJ128" s="334"/>
      <c r="BK128" s="336"/>
      <c r="BL128" s="337"/>
    </row>
    <row r="129" spans="2:64" s="357" customFormat="1" ht="43.5" customHeight="1" x14ac:dyDescent="0.35">
      <c r="B129" s="300"/>
      <c r="C129" s="325" t="s">
        <v>221</v>
      </c>
      <c r="D129" s="354"/>
      <c r="E129" s="355"/>
      <c r="F129" s="356"/>
      <c r="G129" s="305"/>
      <c r="H129" s="332"/>
      <c r="I129" s="333"/>
      <c r="J129" s="334"/>
      <c r="K129" s="334"/>
      <c r="L129" s="334"/>
      <c r="M129" s="334"/>
      <c r="N129" s="335"/>
      <c r="O129" s="336"/>
      <c r="P129" s="337"/>
      <c r="Q129" s="336"/>
      <c r="R129" s="337">
        <f t="shared" si="215"/>
        <v>0</v>
      </c>
      <c r="S129" s="336"/>
      <c r="T129" s="337">
        <f t="shared" si="216"/>
        <v>0</v>
      </c>
      <c r="U129" s="332"/>
      <c r="V129" s="333"/>
      <c r="W129" s="334">
        <f t="shared" si="194"/>
        <v>0</v>
      </c>
      <c r="X129" s="333"/>
      <c r="Y129" s="334"/>
      <c r="Z129" s="333"/>
      <c r="AA129" s="339"/>
      <c r="AB129" s="334"/>
      <c r="AC129" s="334"/>
      <c r="AD129" s="336"/>
      <c r="AE129" s="337"/>
      <c r="AF129" s="332"/>
      <c r="AG129" s="338"/>
      <c r="AH129" s="339">
        <f t="shared" si="214"/>
        <v>0</v>
      </c>
      <c r="AI129" s="336"/>
      <c r="AJ129" s="337"/>
      <c r="AK129" s="332"/>
      <c r="AL129" s="334"/>
      <c r="AM129" s="333"/>
      <c r="AN129" s="334"/>
      <c r="AO129" s="334"/>
      <c r="AP129" s="334"/>
      <c r="AQ129" s="334"/>
      <c r="AR129" s="334"/>
      <c r="AS129" s="336"/>
      <c r="AT129" s="337"/>
      <c r="AU129" s="332"/>
      <c r="AV129" s="339"/>
      <c r="AW129" s="336"/>
      <c r="AX129" s="336"/>
      <c r="AY129" s="334"/>
      <c r="AZ129" s="335"/>
      <c r="BA129" s="332"/>
      <c r="BB129" s="339"/>
      <c r="BC129" s="334"/>
      <c r="BD129" s="334"/>
      <c r="BE129" s="336"/>
      <c r="BF129" s="337"/>
      <c r="BG129" s="332"/>
      <c r="BH129" s="339"/>
      <c r="BI129" s="334"/>
      <c r="BJ129" s="334"/>
      <c r="BK129" s="336"/>
      <c r="BL129" s="337"/>
    </row>
    <row r="130" spans="2:64" s="188" customFormat="1" ht="36" customHeight="1" x14ac:dyDescent="0.35">
      <c r="B130" s="358"/>
      <c r="C130" s="359" t="s">
        <v>222</v>
      </c>
      <c r="D130" s="360"/>
      <c r="E130" s="361">
        <v>1</v>
      </c>
      <c r="F130" s="362"/>
      <c r="G130" s="363">
        <f>SUM(G13:G129)</f>
        <v>2189273.1440000003</v>
      </c>
      <c r="H130" s="364"/>
      <c r="I130" s="365"/>
      <c r="J130" s="366">
        <f>SUM(J13:J129)</f>
        <v>3866696</v>
      </c>
      <c r="K130" s="366"/>
      <c r="L130" s="366">
        <f>SUM(L13:L129)</f>
        <v>0</v>
      </c>
      <c r="M130" s="366"/>
      <c r="N130" s="367">
        <f>SUM(N13:N129)</f>
        <v>0</v>
      </c>
      <c r="O130" s="366"/>
      <c r="P130" s="367">
        <f>SUM(P13:P129)</f>
        <v>0</v>
      </c>
      <c r="Q130" s="365"/>
      <c r="R130" s="368">
        <f>SUM(R13:R129)</f>
        <v>2379630.2999999998</v>
      </c>
      <c r="S130" s="366"/>
      <c r="T130" s="367">
        <f>SUM(T13:T129)</f>
        <v>0</v>
      </c>
      <c r="U130" s="364"/>
      <c r="V130" s="365"/>
      <c r="W130" s="366">
        <f>SUM(W13:W129)</f>
        <v>2816733</v>
      </c>
      <c r="X130" s="365"/>
      <c r="Y130" s="366">
        <f>SUM(Y13:Y129)</f>
        <v>0</v>
      </c>
      <c r="Z130" s="365"/>
      <c r="AA130" s="366">
        <f>SUM(AA13:AA129)</f>
        <v>0</v>
      </c>
      <c r="AB130" s="365"/>
      <c r="AC130" s="366">
        <f>SUM(AC13:AC129)</f>
        <v>0</v>
      </c>
      <c r="AD130" s="365"/>
      <c r="AE130" s="367">
        <f>SUM(AE13:AE129)</f>
        <v>0</v>
      </c>
      <c r="AF130" s="364"/>
      <c r="AG130" s="369"/>
      <c r="AH130" s="368">
        <f>SUM(AH13:AH129)</f>
        <v>2272085.5999999996</v>
      </c>
      <c r="AI130" s="366"/>
      <c r="AJ130" s="367">
        <f>SUM(AJ13:AJ129)</f>
        <v>0</v>
      </c>
      <c r="AK130" s="364"/>
      <c r="AL130" s="366">
        <f>SUM(AL13:AL129)</f>
        <v>0</v>
      </c>
      <c r="AM130" s="370"/>
      <c r="AN130" s="366">
        <f>SUM(AN13:AN129)</f>
        <v>0</v>
      </c>
      <c r="AO130" s="366"/>
      <c r="AP130" s="366">
        <f>SUM(AP13:AP129)</f>
        <v>0</v>
      </c>
      <c r="AQ130" s="366"/>
      <c r="AR130" s="366">
        <f>SUM(AR13:AR129)</f>
        <v>0</v>
      </c>
      <c r="AS130" s="366"/>
      <c r="AT130" s="367">
        <f>SUM(AT13:AT129)</f>
        <v>0</v>
      </c>
      <c r="AU130" s="364"/>
      <c r="AV130" s="368">
        <f>SUM(AV13:AV129)</f>
        <v>0</v>
      </c>
      <c r="AW130" s="366"/>
      <c r="AX130" s="366">
        <f>SUM(AX13:AX129)</f>
        <v>0</v>
      </c>
      <c r="AY130" s="366"/>
      <c r="AZ130" s="367">
        <f>SUM(AZ13:AZ129)</f>
        <v>0</v>
      </c>
      <c r="BA130" s="364"/>
      <c r="BB130" s="368">
        <f>SUM(BB13:BB129)</f>
        <v>0</v>
      </c>
      <c r="BC130" s="371"/>
      <c r="BD130" s="366">
        <f>SUM(BD13:BD129)</f>
        <v>0</v>
      </c>
      <c r="BE130" s="371"/>
      <c r="BF130" s="367">
        <f>SUM(BF13:BF129)</f>
        <v>0</v>
      </c>
      <c r="BG130" s="364"/>
      <c r="BH130" s="368">
        <f>SUM(BH13:BH129)</f>
        <v>0</v>
      </c>
      <c r="BI130" s="366"/>
      <c r="BJ130" s="366">
        <f>SUM(BJ13:BJ129)</f>
        <v>0</v>
      </c>
      <c r="BK130" s="366"/>
      <c r="BL130" s="367">
        <f>SUM(BL13:BL129)</f>
        <v>0</v>
      </c>
    </row>
    <row r="131" spans="2:64" s="188" customFormat="1" ht="36" customHeight="1" x14ac:dyDescent="0.35">
      <c r="B131" s="372">
        <v>8</v>
      </c>
      <c r="C131" s="373" t="s">
        <v>223</v>
      </c>
      <c r="D131" s="374"/>
      <c r="E131" s="375"/>
      <c r="F131" s="376"/>
      <c r="G131" s="376"/>
      <c r="H131" s="377"/>
      <c r="I131" s="378"/>
      <c r="J131" s="379">
        <f>1-(J130/$G$130)</f>
        <v>-0.76620080988852601</v>
      </c>
      <c r="K131" s="379"/>
      <c r="L131" s="379">
        <f>1-(L130/$G$130)</f>
        <v>1</v>
      </c>
      <c r="M131" s="379"/>
      <c r="N131" s="380">
        <f>1-(N130/$G$130)</f>
        <v>1</v>
      </c>
      <c r="O131" s="381"/>
      <c r="P131" s="382">
        <f>1-(P130/$G$130)</f>
        <v>1</v>
      </c>
      <c r="Q131" s="378"/>
      <c r="R131" s="383">
        <f>1-(R130/$G$130)</f>
        <v>-8.6949934283759411E-2</v>
      </c>
      <c r="S131" s="381"/>
      <c r="T131" s="382">
        <f>1-(T130/$G$130)</f>
        <v>1</v>
      </c>
      <c r="U131" s="377"/>
      <c r="V131" s="378"/>
      <c r="W131" s="379">
        <f>1-(W130/$G$130)</f>
        <v>-0.2866064738059928</v>
      </c>
      <c r="X131" s="378"/>
      <c r="Y131" s="379">
        <f>1-(Y130/$G$130)</f>
        <v>1</v>
      </c>
      <c r="Z131" s="378"/>
      <c r="AA131" s="379">
        <f>1-(AA130/$G$130)</f>
        <v>1</v>
      </c>
      <c r="AB131" s="378"/>
      <c r="AC131" s="379">
        <f>1-(AC130/$G$130)</f>
        <v>1</v>
      </c>
      <c r="AD131" s="384"/>
      <c r="AE131" s="382">
        <f>1-(AE130/$G$130)</f>
        <v>1</v>
      </c>
      <c r="AF131" s="377"/>
      <c r="AG131" s="385"/>
      <c r="AH131" s="383">
        <f>1-(AH130/$G$130)</f>
        <v>-3.782646136548018E-2</v>
      </c>
      <c r="AI131" s="381"/>
      <c r="AJ131" s="382">
        <f>1-(AJ130/$G$130)</f>
        <v>1</v>
      </c>
      <c r="AK131" s="377"/>
      <c r="AL131" s="379">
        <f>1-(AL130/$G$130)</f>
        <v>1</v>
      </c>
      <c r="AM131" s="386"/>
      <c r="AN131" s="379">
        <f>1-(AN130/$G$130)</f>
        <v>1</v>
      </c>
      <c r="AO131" s="379"/>
      <c r="AP131" s="379">
        <f>1-(AP130/$G$130)</f>
        <v>1</v>
      </c>
      <c r="AQ131" s="379"/>
      <c r="AR131" s="379">
        <f>1-(AR130/$G$130)</f>
        <v>1</v>
      </c>
      <c r="AS131" s="381"/>
      <c r="AT131" s="382">
        <f>1-(AT130/$G$130)</f>
        <v>1</v>
      </c>
      <c r="AU131" s="377"/>
      <c r="AV131" s="383">
        <f>1-(AV130/$G$130)</f>
        <v>1</v>
      </c>
      <c r="AW131" s="381"/>
      <c r="AX131" s="381">
        <f>1-(AX130/$G$130)</f>
        <v>1</v>
      </c>
      <c r="AY131" s="379"/>
      <c r="AZ131" s="380">
        <f>1-(AZ130/$G$130)</f>
        <v>1</v>
      </c>
      <c r="BA131" s="377"/>
      <c r="BB131" s="383">
        <f>1-(BB130/$G$130)</f>
        <v>1</v>
      </c>
      <c r="BC131" s="387"/>
      <c r="BD131" s="379">
        <f>1-(BD130/$G$130)</f>
        <v>1</v>
      </c>
      <c r="BE131" s="388"/>
      <c r="BF131" s="382">
        <f>1-(BF130/$G$130)</f>
        <v>1</v>
      </c>
      <c r="BG131" s="377"/>
      <c r="BH131" s="383">
        <f>1-(BH130/$G$130)</f>
        <v>1</v>
      </c>
      <c r="BI131" s="379"/>
      <c r="BJ131" s="379">
        <f>1-(BJ130/$G$130)</f>
        <v>1</v>
      </c>
      <c r="BK131" s="381"/>
      <c r="BL131" s="382">
        <f>1-(BL130/$G$130)</f>
        <v>1</v>
      </c>
    </row>
    <row r="132" spans="2:64" s="188" customFormat="1" ht="61.5" customHeight="1" x14ac:dyDescent="0.35">
      <c r="B132" s="372">
        <v>11</v>
      </c>
      <c r="C132" s="389" t="s">
        <v>224</v>
      </c>
      <c r="D132" s="374"/>
      <c r="E132" s="375"/>
      <c r="F132" s="376"/>
      <c r="G132" s="376"/>
      <c r="H132" s="390"/>
      <c r="I132" s="391"/>
      <c r="J132" s="392"/>
      <c r="K132" s="392"/>
      <c r="L132" s="392"/>
      <c r="M132" s="392"/>
      <c r="N132" s="392"/>
      <c r="O132" s="392"/>
      <c r="P132" s="393"/>
      <c r="Q132" s="391"/>
      <c r="R132" s="392"/>
      <c r="S132" s="392"/>
      <c r="T132" s="393"/>
      <c r="U132" s="390"/>
      <c r="V132" s="391"/>
      <c r="W132" s="392"/>
      <c r="X132" s="394"/>
      <c r="Y132" s="394"/>
      <c r="Z132" s="394"/>
      <c r="AA132" s="394"/>
      <c r="AB132" s="394"/>
      <c r="AC132" s="394"/>
      <c r="AD132" s="394"/>
      <c r="AE132" s="393"/>
      <c r="AF132" s="390"/>
      <c r="AG132" s="391"/>
      <c r="AH132" s="392"/>
      <c r="AI132" s="392"/>
      <c r="AJ132" s="393"/>
      <c r="AK132" s="390"/>
      <c r="AL132" s="392"/>
      <c r="AM132" s="392"/>
      <c r="AN132" s="392"/>
      <c r="AO132" s="392"/>
      <c r="AP132" s="392"/>
      <c r="AQ132" s="394"/>
      <c r="AR132" s="394"/>
      <c r="AS132" s="394"/>
      <c r="AT132" s="393"/>
      <c r="AU132" s="390"/>
      <c r="AV132" s="392"/>
      <c r="AW132" s="392"/>
      <c r="AX132" s="392"/>
      <c r="AY132" s="392"/>
      <c r="AZ132" s="393"/>
      <c r="BA132" s="390"/>
      <c r="BB132" s="392"/>
      <c r="BC132" s="394"/>
      <c r="BD132" s="394"/>
      <c r="BE132" s="394"/>
      <c r="BF132" s="393"/>
      <c r="BG132" s="390"/>
      <c r="BH132" s="392"/>
      <c r="BI132" s="392"/>
      <c r="BJ132" s="392"/>
      <c r="BK132" s="392"/>
      <c r="BL132" s="393"/>
    </row>
    <row r="133" spans="2:64" s="188" customFormat="1" ht="46.5" customHeight="1" x14ac:dyDescent="0.35">
      <c r="B133" s="372"/>
      <c r="C133" s="389" t="s">
        <v>225</v>
      </c>
      <c r="D133" s="395"/>
      <c r="E133" s="396"/>
      <c r="F133" s="397"/>
      <c r="G133" s="397"/>
      <c r="H133" s="252"/>
      <c r="I133" s="253"/>
      <c r="J133" s="254"/>
      <c r="K133" s="254"/>
      <c r="L133" s="254"/>
      <c r="M133" s="254"/>
      <c r="N133" s="255"/>
      <c r="O133" s="254"/>
      <c r="P133" s="255"/>
      <c r="Q133" s="259"/>
      <c r="R133" s="253"/>
      <c r="S133" s="259"/>
      <c r="T133" s="274"/>
      <c r="U133" s="258"/>
      <c r="V133" s="259"/>
      <c r="W133" s="253"/>
      <c r="X133" s="259"/>
      <c r="Y133" s="259"/>
      <c r="Z133" s="260"/>
      <c r="AA133" s="253"/>
      <c r="AB133" s="260"/>
      <c r="AC133" s="253"/>
      <c r="AD133" s="260"/>
      <c r="AE133" s="274"/>
      <c r="AF133" s="258"/>
      <c r="AG133" s="259"/>
      <c r="AH133" s="253"/>
      <c r="AI133" s="259"/>
      <c r="AJ133" s="274"/>
      <c r="AK133" s="258"/>
      <c r="AL133" s="253"/>
      <c r="AM133" s="259"/>
      <c r="AN133" s="259"/>
      <c r="AO133" s="260"/>
      <c r="AP133" s="259"/>
      <c r="AQ133" s="260"/>
      <c r="AR133" s="259"/>
      <c r="AS133" s="260"/>
      <c r="AT133" s="274"/>
      <c r="AU133" s="258"/>
      <c r="AV133" s="253"/>
      <c r="AW133" s="259"/>
      <c r="AX133" s="259"/>
      <c r="AY133" s="259"/>
      <c r="AZ133" s="274"/>
      <c r="BA133" s="258"/>
      <c r="BB133" s="253"/>
      <c r="BC133" s="259"/>
      <c r="BD133" s="259"/>
      <c r="BE133" s="259"/>
      <c r="BF133" s="274"/>
      <c r="BG133" s="258"/>
      <c r="BH133" s="253"/>
      <c r="BI133" s="259"/>
      <c r="BJ133" s="259"/>
      <c r="BK133" s="259"/>
      <c r="BL133" s="274"/>
    </row>
    <row r="134" spans="2:64" s="188" customFormat="1" ht="61.5" customHeight="1" x14ac:dyDescent="0.35">
      <c r="B134" s="372">
        <v>9</v>
      </c>
      <c r="C134" s="389" t="s">
        <v>226</v>
      </c>
      <c r="D134" s="395"/>
      <c r="E134" s="396"/>
      <c r="F134" s="397"/>
      <c r="G134" s="397"/>
      <c r="H134" s="374"/>
      <c r="I134" s="398"/>
      <c r="J134" s="375"/>
      <c r="K134" s="375"/>
      <c r="L134" s="375"/>
      <c r="M134" s="375"/>
      <c r="N134" s="375"/>
      <c r="O134" s="375"/>
      <c r="P134" s="399"/>
      <c r="Q134" s="398"/>
      <c r="R134" s="375"/>
      <c r="S134" s="375"/>
      <c r="T134" s="399"/>
      <c r="U134" s="374"/>
      <c r="V134" s="398"/>
      <c r="W134" s="375"/>
      <c r="X134" s="376"/>
      <c r="Y134" s="376"/>
      <c r="Z134" s="376"/>
      <c r="AA134" s="376"/>
      <c r="AB134" s="376"/>
      <c r="AC134" s="376"/>
      <c r="AD134" s="376"/>
      <c r="AE134" s="399"/>
      <c r="AF134" s="374"/>
      <c r="AG134" s="398"/>
      <c r="AH134" s="375"/>
      <c r="AI134" s="375"/>
      <c r="AJ134" s="399"/>
      <c r="AK134" s="374"/>
      <c r="AL134" s="375"/>
      <c r="AM134" s="375"/>
      <c r="AN134" s="375"/>
      <c r="AO134" s="375"/>
      <c r="AP134" s="375"/>
      <c r="AQ134" s="376"/>
      <c r="AR134" s="376"/>
      <c r="AS134" s="376"/>
      <c r="AT134" s="399"/>
      <c r="AU134" s="374"/>
      <c r="AV134" s="375"/>
      <c r="AW134" s="375"/>
      <c r="AX134" s="375"/>
      <c r="AY134" s="375"/>
      <c r="AZ134" s="399"/>
      <c r="BA134" s="400"/>
      <c r="BB134" s="401"/>
      <c r="BC134" s="402"/>
      <c r="BD134" s="402"/>
      <c r="BE134" s="402"/>
      <c r="BF134" s="403"/>
      <c r="BG134" s="374"/>
      <c r="BH134" s="375"/>
      <c r="BI134" s="375"/>
      <c r="BJ134" s="375"/>
      <c r="BK134" s="375"/>
      <c r="BL134" s="399"/>
    </row>
    <row r="135" spans="2:64" s="188" customFormat="1" ht="61.5" customHeight="1" x14ac:dyDescent="0.35">
      <c r="B135" s="372">
        <v>10</v>
      </c>
      <c r="C135" s="389" t="s">
        <v>227</v>
      </c>
      <c r="D135" s="395"/>
      <c r="E135" s="396"/>
      <c r="F135" s="397"/>
      <c r="G135" s="397"/>
      <c r="H135" s="395"/>
      <c r="I135" s="404"/>
      <c r="J135" s="396"/>
      <c r="K135" s="396"/>
      <c r="L135" s="396"/>
      <c r="M135" s="396"/>
      <c r="N135" s="396"/>
      <c r="O135" s="396"/>
      <c r="P135" s="405"/>
      <c r="Q135" s="404"/>
      <c r="R135" s="396"/>
      <c r="S135" s="396"/>
      <c r="T135" s="405"/>
      <c r="U135" s="406"/>
      <c r="V135" s="407"/>
      <c r="W135" s="407"/>
      <c r="X135" s="407"/>
      <c r="Y135" s="407"/>
      <c r="Z135" s="407"/>
      <c r="AA135" s="407"/>
      <c r="AB135" s="407"/>
      <c r="AC135" s="407"/>
      <c r="AD135" s="407"/>
      <c r="AE135" s="408"/>
      <c r="AF135" s="395"/>
      <c r="AG135" s="404"/>
      <c r="AH135" s="396"/>
      <c r="AI135" s="396"/>
      <c r="AJ135" s="405"/>
      <c r="AK135" s="409"/>
      <c r="AL135" s="410"/>
      <c r="AM135" s="410"/>
      <c r="AN135" s="410"/>
      <c r="AO135" s="410"/>
      <c r="AP135" s="410"/>
      <c r="AQ135" s="411"/>
      <c r="AR135" s="411"/>
      <c r="AS135" s="411"/>
      <c r="AT135" s="412"/>
      <c r="AU135" s="395"/>
      <c r="AV135" s="396"/>
      <c r="AW135" s="396"/>
      <c r="AX135" s="396"/>
      <c r="AY135" s="396"/>
      <c r="AZ135" s="405"/>
      <c r="BA135" s="395"/>
      <c r="BB135" s="396"/>
      <c r="BC135" s="397"/>
      <c r="BD135" s="397"/>
      <c r="BE135" s="397"/>
      <c r="BF135" s="405"/>
      <c r="BG135" s="395"/>
      <c r="BH135" s="396"/>
      <c r="BI135" s="396"/>
      <c r="BJ135" s="396"/>
      <c r="BK135" s="396"/>
      <c r="BL135" s="405"/>
    </row>
    <row r="136" spans="2:64" s="188" customFormat="1" ht="35.5" customHeight="1" x14ac:dyDescent="0.35">
      <c r="B136" s="300">
        <v>12</v>
      </c>
      <c r="C136" s="413" t="s">
        <v>228</v>
      </c>
      <c r="D136" s="395"/>
      <c r="E136" s="396"/>
      <c r="F136" s="397"/>
      <c r="G136" s="397"/>
      <c r="H136" s="390"/>
      <c r="I136" s="391"/>
      <c r="J136" s="392"/>
      <c r="K136" s="392"/>
      <c r="L136" s="392"/>
      <c r="M136" s="392"/>
      <c r="N136" s="392"/>
      <c r="O136" s="392"/>
      <c r="P136" s="393"/>
      <c r="Q136" s="391"/>
      <c r="R136" s="392"/>
      <c r="S136" s="392"/>
      <c r="T136" s="393"/>
      <c r="U136" s="414"/>
      <c r="V136" s="415"/>
      <c r="W136" s="416"/>
      <c r="X136" s="417"/>
      <c r="Y136" s="417"/>
      <c r="Z136" s="417"/>
      <c r="AA136" s="417"/>
      <c r="AB136" s="417"/>
      <c r="AC136" s="417"/>
      <c r="AD136" s="417"/>
      <c r="AE136" s="418"/>
      <c r="AF136" s="390"/>
      <c r="AG136" s="391"/>
      <c r="AH136" s="392"/>
      <c r="AI136" s="392"/>
      <c r="AJ136" s="393"/>
      <c r="AK136" s="409"/>
      <c r="AL136" s="410"/>
      <c r="AM136" s="410"/>
      <c r="AN136" s="410"/>
      <c r="AO136" s="410"/>
      <c r="AP136" s="410"/>
      <c r="AQ136" s="411"/>
      <c r="AR136" s="411"/>
      <c r="AS136" s="411"/>
      <c r="AT136" s="412"/>
      <c r="AU136" s="409"/>
      <c r="AV136" s="410"/>
      <c r="AW136" s="410"/>
      <c r="AX136" s="410"/>
      <c r="AY136" s="410"/>
      <c r="AZ136" s="412"/>
      <c r="BA136" s="419"/>
      <c r="BB136" s="420"/>
      <c r="BC136" s="421"/>
      <c r="BD136" s="421"/>
      <c r="BE136" s="421"/>
      <c r="BF136" s="422"/>
      <c r="BG136" s="409"/>
      <c r="BH136" s="410"/>
      <c r="BI136" s="410"/>
      <c r="BJ136" s="410"/>
      <c r="BK136" s="410"/>
      <c r="BL136" s="412"/>
    </row>
    <row r="137" spans="2:64" s="188" customFormat="1" ht="46" customHeight="1" x14ac:dyDescent="0.35">
      <c r="B137" s="372"/>
      <c r="C137" s="423" t="s">
        <v>24</v>
      </c>
      <c r="D137" s="395"/>
      <c r="E137" s="396"/>
      <c r="F137" s="397"/>
      <c r="G137" s="397"/>
      <c r="H137" s="424">
        <v>0.2</v>
      </c>
      <c r="I137" s="425"/>
      <c r="J137" s="392"/>
      <c r="K137" s="392"/>
      <c r="L137" s="392"/>
      <c r="M137" s="392"/>
      <c r="N137" s="392"/>
      <c r="O137" s="392"/>
      <c r="P137" s="393"/>
      <c r="Q137" s="407" t="s">
        <v>229</v>
      </c>
      <c r="R137" s="407"/>
      <c r="S137" s="407"/>
      <c r="T137" s="408"/>
      <c r="U137" s="426"/>
      <c r="V137" s="427"/>
      <c r="W137" s="278"/>
      <c r="X137" s="428"/>
      <c r="Y137" s="428"/>
      <c r="Z137" s="428"/>
      <c r="AA137" s="428"/>
      <c r="AB137" s="428"/>
      <c r="AC137" s="428"/>
      <c r="AD137" s="428"/>
      <c r="AE137" s="277"/>
      <c r="AF137" s="429"/>
      <c r="AG137" s="430"/>
      <c r="AH137" s="430"/>
      <c r="AI137" s="430"/>
      <c r="AJ137" s="431"/>
      <c r="AK137" s="390"/>
      <c r="AL137" s="392"/>
      <c r="AM137" s="392"/>
      <c r="AN137" s="392"/>
      <c r="AO137" s="392"/>
      <c r="AP137" s="392"/>
      <c r="AQ137" s="394"/>
      <c r="AR137" s="394"/>
      <c r="AS137" s="394"/>
      <c r="AT137" s="393"/>
      <c r="AU137" s="390"/>
      <c r="AV137" s="392"/>
      <c r="AW137" s="392"/>
      <c r="AX137" s="392"/>
      <c r="AY137" s="392"/>
      <c r="AZ137" s="393"/>
      <c r="BA137" s="429"/>
      <c r="BB137" s="430"/>
      <c r="BC137" s="430"/>
      <c r="BD137" s="430"/>
      <c r="BE137" s="430"/>
      <c r="BF137" s="431"/>
      <c r="BG137" s="390"/>
      <c r="BH137" s="392"/>
      <c r="BI137" s="392"/>
      <c r="BJ137" s="392"/>
      <c r="BK137" s="392"/>
      <c r="BL137" s="393"/>
    </row>
    <row r="138" spans="2:64" s="188" customFormat="1" ht="46" customHeight="1" x14ac:dyDescent="0.35">
      <c r="B138" s="372"/>
      <c r="C138" s="423" t="s">
        <v>230</v>
      </c>
      <c r="D138" s="406"/>
      <c r="E138" s="407"/>
      <c r="F138" s="407"/>
      <c r="G138" s="408"/>
      <c r="H138" s="395"/>
      <c r="I138" s="404"/>
      <c r="J138" s="396"/>
      <c r="K138" s="396"/>
      <c r="L138" s="396"/>
      <c r="M138" s="396"/>
      <c r="N138" s="396"/>
      <c r="O138" s="396"/>
      <c r="P138" s="405"/>
      <c r="Q138" s="404" t="s">
        <v>231</v>
      </c>
      <c r="R138" s="396"/>
      <c r="S138" s="396"/>
      <c r="T138" s="405"/>
      <c r="U138" s="406"/>
      <c r="V138" s="407"/>
      <c r="W138" s="407"/>
      <c r="X138" s="407"/>
      <c r="Y138" s="407"/>
      <c r="Z138" s="407"/>
      <c r="AA138" s="407"/>
      <c r="AB138" s="407"/>
      <c r="AC138" s="407"/>
      <c r="AD138" s="407"/>
      <c r="AE138" s="408"/>
      <c r="AF138" s="395"/>
      <c r="AG138" s="404"/>
      <c r="AH138" s="396"/>
      <c r="AI138" s="396"/>
      <c r="AJ138" s="405"/>
      <c r="AK138" s="409"/>
      <c r="AL138" s="410"/>
      <c r="AM138" s="410"/>
      <c r="AN138" s="410"/>
      <c r="AO138" s="410"/>
      <c r="AP138" s="410"/>
      <c r="AQ138" s="411"/>
      <c r="AR138" s="411"/>
      <c r="AS138" s="411"/>
      <c r="AT138" s="412"/>
      <c r="AU138" s="395"/>
      <c r="AV138" s="396"/>
      <c r="AW138" s="396"/>
      <c r="AX138" s="396"/>
      <c r="AY138" s="396"/>
      <c r="AZ138" s="405"/>
      <c r="BA138" s="395"/>
      <c r="BB138" s="396"/>
      <c r="BC138" s="397"/>
      <c r="BD138" s="397"/>
      <c r="BE138" s="397"/>
      <c r="BF138" s="405"/>
      <c r="BG138" s="395"/>
      <c r="BH138" s="396"/>
      <c r="BI138" s="396"/>
      <c r="BJ138" s="396"/>
      <c r="BK138" s="396"/>
      <c r="BL138" s="405"/>
    </row>
    <row r="139" spans="2:64" s="188" customFormat="1" ht="64" customHeight="1" x14ac:dyDescent="0.35">
      <c r="B139" s="372"/>
      <c r="C139" s="423" t="s">
        <v>27</v>
      </c>
      <c r="D139" s="406"/>
      <c r="E139" s="407"/>
      <c r="F139" s="407"/>
      <c r="G139" s="408"/>
      <c r="H139" s="395"/>
      <c r="I139" s="404"/>
      <c r="J139" s="396"/>
      <c r="K139" s="396"/>
      <c r="L139" s="396"/>
      <c r="M139" s="396"/>
      <c r="N139" s="396"/>
      <c r="O139" s="396"/>
      <c r="P139" s="405"/>
      <c r="Q139" s="404" t="s">
        <v>232</v>
      </c>
      <c r="R139" s="396"/>
      <c r="S139" s="396"/>
      <c r="T139" s="405"/>
      <c r="U139" s="406"/>
      <c r="V139" s="407"/>
      <c r="W139" s="407"/>
      <c r="X139" s="407"/>
      <c r="Y139" s="407"/>
      <c r="Z139" s="407"/>
      <c r="AA139" s="407"/>
      <c r="AB139" s="407"/>
      <c r="AC139" s="407"/>
      <c r="AD139" s="407"/>
      <c r="AE139" s="408"/>
      <c r="AF139" s="395"/>
      <c r="AG139" s="404"/>
      <c r="AH139" s="396"/>
      <c r="AI139" s="396"/>
      <c r="AJ139" s="405"/>
      <c r="AK139" s="409"/>
      <c r="AL139" s="410"/>
      <c r="AM139" s="410"/>
      <c r="AN139" s="410"/>
      <c r="AO139" s="410"/>
      <c r="AP139" s="410"/>
      <c r="AQ139" s="411"/>
      <c r="AR139" s="411"/>
      <c r="AS139" s="411"/>
      <c r="AT139" s="412"/>
      <c r="AU139" s="395"/>
      <c r="AV139" s="396"/>
      <c r="AW139" s="396"/>
      <c r="AX139" s="396"/>
      <c r="AY139" s="396"/>
      <c r="AZ139" s="405"/>
      <c r="BA139" s="395"/>
      <c r="BB139" s="396"/>
      <c r="BC139" s="397"/>
      <c r="BD139" s="397"/>
      <c r="BE139" s="397"/>
      <c r="BF139" s="405"/>
      <c r="BG139" s="395"/>
      <c r="BH139" s="396"/>
      <c r="BI139" s="396"/>
      <c r="BJ139" s="396"/>
      <c r="BK139" s="396"/>
      <c r="BL139" s="405"/>
    </row>
    <row r="140" spans="2:64" s="188" customFormat="1" ht="46" customHeight="1" x14ac:dyDescent="0.35">
      <c r="B140" s="372"/>
      <c r="C140" s="423" t="s">
        <v>233</v>
      </c>
      <c r="D140" s="406"/>
      <c r="E140" s="407"/>
      <c r="F140" s="407"/>
      <c r="G140" s="408"/>
      <c r="H140" s="395"/>
      <c r="I140" s="404"/>
      <c r="J140" s="396"/>
      <c r="K140" s="396"/>
      <c r="L140" s="396"/>
      <c r="M140" s="396"/>
      <c r="N140" s="396"/>
      <c r="O140" s="396"/>
      <c r="P140" s="405"/>
      <c r="Q140" s="404" t="s">
        <v>234</v>
      </c>
      <c r="R140" s="396"/>
      <c r="S140" s="396"/>
      <c r="T140" s="405"/>
      <c r="U140" s="406"/>
      <c r="V140" s="407"/>
      <c r="W140" s="407"/>
      <c r="X140" s="407"/>
      <c r="Y140" s="407"/>
      <c r="Z140" s="407"/>
      <c r="AA140" s="407"/>
      <c r="AB140" s="407"/>
      <c r="AC140" s="407"/>
      <c r="AD140" s="407"/>
      <c r="AE140" s="408"/>
      <c r="AF140" s="395"/>
      <c r="AG140" s="404"/>
      <c r="AH140" s="396"/>
      <c r="AI140" s="396"/>
      <c r="AJ140" s="405"/>
      <c r="AK140" s="409"/>
      <c r="AL140" s="410"/>
      <c r="AM140" s="410"/>
      <c r="AN140" s="410"/>
      <c r="AO140" s="410"/>
      <c r="AP140" s="410"/>
      <c r="AQ140" s="411"/>
      <c r="AR140" s="411"/>
      <c r="AS140" s="411"/>
      <c r="AT140" s="412"/>
      <c r="AU140" s="395"/>
      <c r="AV140" s="396"/>
      <c r="AW140" s="396"/>
      <c r="AX140" s="396"/>
      <c r="AY140" s="396"/>
      <c r="AZ140" s="405"/>
      <c r="BA140" s="395"/>
      <c r="BB140" s="396"/>
      <c r="BC140" s="397"/>
      <c r="BD140" s="397"/>
      <c r="BE140" s="397"/>
      <c r="BF140" s="405"/>
      <c r="BG140" s="395"/>
      <c r="BH140" s="396"/>
      <c r="BI140" s="396"/>
      <c r="BJ140" s="396"/>
      <c r="BK140" s="396"/>
      <c r="BL140" s="405"/>
    </row>
    <row r="141" spans="2:64" s="188" customFormat="1" ht="46" customHeight="1" x14ac:dyDescent="0.35">
      <c r="B141" s="372"/>
      <c r="C141" s="423" t="s">
        <v>26</v>
      </c>
      <c r="D141" s="406"/>
      <c r="E141" s="407"/>
      <c r="F141" s="407"/>
      <c r="G141" s="408"/>
      <c r="H141" s="395"/>
      <c r="I141" s="404"/>
      <c r="J141" s="396"/>
      <c r="K141" s="396"/>
      <c r="L141" s="396"/>
      <c r="M141" s="396"/>
      <c r="N141" s="396"/>
      <c r="O141" s="396"/>
      <c r="P141" s="405"/>
      <c r="Q141" s="404"/>
      <c r="R141" s="396"/>
      <c r="S141" s="396"/>
      <c r="T141" s="405"/>
      <c r="U141" s="406"/>
      <c r="V141" s="407"/>
      <c r="W141" s="407"/>
      <c r="X141" s="407"/>
      <c r="Y141" s="407"/>
      <c r="Z141" s="407"/>
      <c r="AA141" s="407"/>
      <c r="AB141" s="407"/>
      <c r="AC141" s="407"/>
      <c r="AD141" s="407"/>
      <c r="AE141" s="408"/>
      <c r="AF141" s="395"/>
      <c r="AG141" s="404"/>
      <c r="AH141" s="396"/>
      <c r="AI141" s="396"/>
      <c r="AJ141" s="405"/>
      <c r="AK141" s="409"/>
      <c r="AL141" s="410"/>
      <c r="AM141" s="410"/>
      <c r="AN141" s="410"/>
      <c r="AO141" s="410"/>
      <c r="AP141" s="410"/>
      <c r="AQ141" s="411"/>
      <c r="AR141" s="411"/>
      <c r="AS141" s="411"/>
      <c r="AT141" s="412"/>
      <c r="AU141" s="395"/>
      <c r="AV141" s="396"/>
      <c r="AW141" s="396"/>
      <c r="AX141" s="396"/>
      <c r="AY141" s="396"/>
      <c r="AZ141" s="405"/>
      <c r="BA141" s="395"/>
      <c r="BB141" s="396"/>
      <c r="BC141" s="397"/>
      <c r="BD141" s="397"/>
      <c r="BE141" s="397"/>
      <c r="BF141" s="405"/>
      <c r="BG141" s="395"/>
      <c r="BH141" s="396"/>
      <c r="BI141" s="396"/>
      <c r="BJ141" s="396"/>
      <c r="BK141" s="396"/>
      <c r="BL141" s="405"/>
    </row>
    <row r="142" spans="2:64" s="188" customFormat="1" ht="46" customHeight="1" x14ac:dyDescent="0.35">
      <c r="B142" s="372"/>
      <c r="C142" s="423" t="s">
        <v>235</v>
      </c>
      <c r="D142" s="406"/>
      <c r="E142" s="407"/>
      <c r="F142" s="407"/>
      <c r="G142" s="408"/>
      <c r="H142" s="395" t="s">
        <v>236</v>
      </c>
      <c r="I142" s="404"/>
      <c r="J142" s="396"/>
      <c r="K142" s="396"/>
      <c r="L142" s="396"/>
      <c r="M142" s="396"/>
      <c r="N142" s="396"/>
      <c r="O142" s="396"/>
      <c r="P142" s="405"/>
      <c r="Q142" s="404" t="s">
        <v>237</v>
      </c>
      <c r="R142" s="396"/>
      <c r="S142" s="396"/>
      <c r="T142" s="405"/>
      <c r="U142" s="406"/>
      <c r="V142" s="407"/>
      <c r="W142" s="407"/>
      <c r="X142" s="407"/>
      <c r="Y142" s="407"/>
      <c r="Z142" s="407"/>
      <c r="AA142" s="407"/>
      <c r="AB142" s="407"/>
      <c r="AC142" s="407"/>
      <c r="AD142" s="407"/>
      <c r="AE142" s="408"/>
      <c r="AF142" s="395"/>
      <c r="AG142" s="404"/>
      <c r="AH142" s="396"/>
      <c r="AI142" s="396"/>
      <c r="AJ142" s="405"/>
      <c r="AK142" s="409"/>
      <c r="AL142" s="410"/>
      <c r="AM142" s="410"/>
      <c r="AN142" s="410"/>
      <c r="AO142" s="410"/>
      <c r="AP142" s="410"/>
      <c r="AQ142" s="411"/>
      <c r="AR142" s="411"/>
      <c r="AS142" s="411"/>
      <c r="AT142" s="412"/>
      <c r="AU142" s="395"/>
      <c r="AV142" s="396"/>
      <c r="AW142" s="396"/>
      <c r="AX142" s="396"/>
      <c r="AY142" s="396"/>
      <c r="AZ142" s="405"/>
      <c r="BA142" s="395"/>
      <c r="BB142" s="396"/>
      <c r="BC142" s="397"/>
      <c r="BD142" s="397"/>
      <c r="BE142" s="397"/>
      <c r="BF142" s="405"/>
      <c r="BG142" s="395"/>
      <c r="BH142" s="396"/>
      <c r="BI142" s="396"/>
      <c r="BJ142" s="396"/>
      <c r="BK142" s="396"/>
      <c r="BL142" s="405"/>
    </row>
    <row r="143" spans="2:64" s="188" customFormat="1" ht="46" customHeight="1" x14ac:dyDescent="0.35">
      <c r="B143" s="372"/>
      <c r="C143" s="423" t="s">
        <v>238</v>
      </c>
      <c r="D143" s="406"/>
      <c r="E143" s="407"/>
      <c r="F143" s="407"/>
      <c r="G143" s="408"/>
      <c r="H143" s="395" t="s">
        <v>239</v>
      </c>
      <c r="I143" s="404"/>
      <c r="J143" s="396"/>
      <c r="K143" s="396"/>
      <c r="L143" s="396"/>
      <c r="M143" s="396"/>
      <c r="N143" s="396"/>
      <c r="O143" s="396"/>
      <c r="P143" s="405"/>
      <c r="Q143" s="404"/>
      <c r="R143" s="396"/>
      <c r="S143" s="396"/>
      <c r="T143" s="405"/>
      <c r="U143" s="406"/>
      <c r="V143" s="407"/>
      <c r="W143" s="407"/>
      <c r="X143" s="407"/>
      <c r="Y143" s="407"/>
      <c r="Z143" s="407"/>
      <c r="AA143" s="407"/>
      <c r="AB143" s="407"/>
      <c r="AC143" s="407"/>
      <c r="AD143" s="407"/>
      <c r="AE143" s="408"/>
      <c r="AF143" s="395"/>
      <c r="AG143" s="404"/>
      <c r="AH143" s="396"/>
      <c r="AI143" s="396"/>
      <c r="AJ143" s="405"/>
      <c r="AK143" s="409"/>
      <c r="AL143" s="410"/>
      <c r="AM143" s="410"/>
      <c r="AN143" s="410"/>
      <c r="AO143" s="410"/>
      <c r="AP143" s="410"/>
      <c r="AQ143" s="411"/>
      <c r="AR143" s="411"/>
      <c r="AS143" s="411"/>
      <c r="AT143" s="412"/>
      <c r="AU143" s="395"/>
      <c r="AV143" s="396"/>
      <c r="AW143" s="396"/>
      <c r="AX143" s="396"/>
      <c r="AY143" s="396"/>
      <c r="AZ143" s="405"/>
      <c r="BA143" s="395"/>
      <c r="BB143" s="396"/>
      <c r="BC143" s="397"/>
      <c r="BD143" s="397"/>
      <c r="BE143" s="397"/>
      <c r="BF143" s="405"/>
      <c r="BG143" s="395"/>
      <c r="BH143" s="396"/>
      <c r="BI143" s="396"/>
      <c r="BJ143" s="396"/>
      <c r="BK143" s="396"/>
      <c r="BL143" s="405"/>
    </row>
    <row r="144" spans="2:64" s="188" customFormat="1" ht="48" customHeight="1" x14ac:dyDescent="0.35">
      <c r="B144" s="372">
        <v>14</v>
      </c>
      <c r="C144" s="389" t="s">
        <v>240</v>
      </c>
      <c r="D144" s="395"/>
      <c r="E144" s="396"/>
      <c r="F144" s="397"/>
      <c r="G144" s="397"/>
      <c r="H144" s="374"/>
      <c r="I144" s="398"/>
      <c r="J144" s="375"/>
      <c r="K144" s="375"/>
      <c r="L144" s="375"/>
      <c r="M144" s="375"/>
      <c r="N144" s="375"/>
      <c r="O144" s="375"/>
      <c r="P144" s="399"/>
      <c r="Q144" s="398"/>
      <c r="R144" s="375"/>
      <c r="S144" s="375"/>
      <c r="T144" s="399"/>
      <c r="U144" s="390"/>
      <c r="V144" s="391"/>
      <c r="W144" s="375"/>
      <c r="X144" s="376"/>
      <c r="Y144" s="376"/>
      <c r="Z144" s="376"/>
      <c r="AA144" s="376"/>
      <c r="AB144" s="376"/>
      <c r="AC144" s="376"/>
      <c r="AD144" s="376"/>
      <c r="AE144" s="399"/>
      <c r="AF144" s="374"/>
      <c r="AG144" s="398"/>
      <c r="AH144" s="375"/>
      <c r="AI144" s="375"/>
      <c r="AJ144" s="399"/>
      <c r="AK144" s="374"/>
      <c r="AL144" s="375"/>
      <c r="AM144" s="375"/>
      <c r="AN144" s="375"/>
      <c r="AO144" s="375"/>
      <c r="AP144" s="375"/>
      <c r="AQ144" s="376"/>
      <c r="AR144" s="376"/>
      <c r="AS144" s="376"/>
      <c r="AT144" s="399"/>
      <c r="AU144" s="374"/>
      <c r="AV144" s="375"/>
      <c r="AW144" s="375"/>
      <c r="AX144" s="375"/>
      <c r="AY144" s="375"/>
      <c r="AZ144" s="399"/>
      <c r="BA144" s="432"/>
      <c r="BB144" s="433"/>
      <c r="BC144" s="433"/>
      <c r="BD144" s="433"/>
      <c r="BE144" s="433"/>
      <c r="BF144" s="434"/>
      <c r="BG144" s="374"/>
      <c r="BH144" s="375"/>
      <c r="BI144" s="375"/>
      <c r="BJ144" s="375"/>
      <c r="BK144" s="375"/>
      <c r="BL144" s="399"/>
    </row>
    <row r="145" spans="2:64" s="188" customFormat="1" ht="53.5" customHeight="1" x14ac:dyDescent="0.35">
      <c r="B145" s="372">
        <v>15</v>
      </c>
      <c r="C145" s="389" t="s">
        <v>60</v>
      </c>
      <c r="D145" s="395"/>
      <c r="E145" s="396"/>
      <c r="F145" s="397"/>
      <c r="G145" s="397"/>
      <c r="H145" s="435"/>
      <c r="I145" s="436"/>
      <c r="J145" s="437"/>
      <c r="K145" s="437"/>
      <c r="L145" s="437"/>
      <c r="M145" s="437"/>
      <c r="N145" s="437"/>
      <c r="O145" s="437"/>
      <c r="P145" s="438"/>
      <c r="Q145" s="439"/>
      <c r="R145" s="440"/>
      <c r="S145" s="440"/>
      <c r="T145" s="441"/>
      <c r="U145" s="442"/>
      <c r="V145" s="439"/>
      <c r="W145" s="440"/>
      <c r="X145" s="443"/>
      <c r="Y145" s="443"/>
      <c r="Z145" s="443"/>
      <c r="AA145" s="443"/>
      <c r="AB145" s="443"/>
      <c r="AC145" s="443"/>
      <c r="AD145" s="443"/>
      <c r="AE145" s="441"/>
      <c r="AF145" s="442"/>
      <c r="AG145" s="439"/>
      <c r="AH145" s="440"/>
      <c r="AI145" s="440"/>
      <c r="AJ145" s="441"/>
      <c r="AK145" s="444"/>
      <c r="AL145" s="445"/>
      <c r="AM145" s="445"/>
      <c r="AN145" s="445"/>
      <c r="AO145" s="445"/>
      <c r="AP145" s="445"/>
      <c r="AQ145" s="376"/>
      <c r="AR145" s="398"/>
      <c r="AS145" s="443"/>
      <c r="AT145" s="446"/>
      <c r="AU145" s="444"/>
      <c r="AV145" s="445"/>
      <c r="AW145" s="443"/>
      <c r="AX145" s="439"/>
      <c r="AY145" s="376"/>
      <c r="AZ145" s="434"/>
      <c r="BA145" s="447"/>
      <c r="BB145" s="448"/>
      <c r="BC145" s="448"/>
      <c r="BD145" s="448"/>
      <c r="BE145" s="448"/>
      <c r="BF145" s="446"/>
      <c r="BG145" s="442"/>
      <c r="BH145" s="440"/>
      <c r="BI145" s="440"/>
      <c r="BJ145" s="440"/>
      <c r="BK145" s="440"/>
      <c r="BL145" s="441"/>
    </row>
    <row r="146" spans="2:64" s="188" customFormat="1" ht="32" customHeight="1" thickBot="1" x14ac:dyDescent="0.4">
      <c r="B146" s="449">
        <v>17</v>
      </c>
      <c r="C146" s="450" t="s">
        <v>241</v>
      </c>
      <c r="D146" s="451"/>
      <c r="E146" s="452"/>
      <c r="F146" s="452"/>
      <c r="G146" s="452"/>
      <c r="H146" s="453"/>
      <c r="I146" s="453"/>
      <c r="J146" s="453"/>
      <c r="K146" s="451"/>
      <c r="L146" s="452"/>
      <c r="M146" s="452" t="s">
        <v>242</v>
      </c>
      <c r="N146" s="452"/>
      <c r="O146" s="452"/>
      <c r="P146" s="452"/>
      <c r="Q146" s="452"/>
      <c r="R146" s="452"/>
      <c r="S146" s="452"/>
      <c r="T146" s="452"/>
      <c r="U146" s="452"/>
      <c r="V146" s="452"/>
      <c r="W146" s="452"/>
      <c r="X146" s="452"/>
      <c r="Y146" s="452"/>
      <c r="Z146" s="452"/>
      <c r="AA146" s="452"/>
      <c r="AB146" s="452"/>
      <c r="AC146" s="452"/>
      <c r="AD146" s="452"/>
      <c r="AE146" s="452"/>
      <c r="AF146" s="452"/>
      <c r="AG146" s="452"/>
      <c r="AH146" s="452"/>
      <c r="AI146" s="452"/>
      <c r="AJ146" s="452"/>
      <c r="AK146" s="452"/>
      <c r="AL146" s="452"/>
      <c r="AM146" s="452"/>
      <c r="AN146" s="452"/>
      <c r="AO146" s="452"/>
      <c r="AP146" s="452"/>
      <c r="AQ146" s="452"/>
      <c r="AR146" s="452"/>
      <c r="AS146" s="452"/>
      <c r="AT146" s="452"/>
      <c r="AU146" s="452"/>
      <c r="AV146" s="452"/>
      <c r="AW146" s="452"/>
      <c r="AX146" s="452"/>
      <c r="AY146" s="452"/>
      <c r="AZ146" s="452"/>
      <c r="BA146" s="452"/>
      <c r="BB146" s="452"/>
      <c r="BC146" s="452"/>
      <c r="BD146" s="452"/>
      <c r="BE146" s="452"/>
      <c r="BF146" s="452"/>
      <c r="BG146" s="452"/>
      <c r="BH146" s="452"/>
      <c r="BI146" s="452"/>
      <c r="BJ146" s="452"/>
      <c r="BK146" s="452"/>
      <c r="BL146" s="454"/>
    </row>
    <row r="147" spans="2:64" s="458" customFormat="1" ht="257" customHeight="1" thickBot="1" x14ac:dyDescent="0.4">
      <c r="B147" s="455"/>
      <c r="C147" s="456"/>
      <c r="D147" s="456"/>
      <c r="E147" s="456"/>
      <c r="F147" s="456"/>
      <c r="G147" s="456"/>
      <c r="H147" s="456"/>
      <c r="I147" s="456"/>
      <c r="J147" s="456"/>
      <c r="K147" s="456"/>
      <c r="L147" s="456"/>
      <c r="M147" s="456"/>
      <c r="N147" s="456"/>
      <c r="O147" s="456"/>
      <c r="P147" s="456"/>
      <c r="Q147" s="456"/>
      <c r="R147" s="456"/>
      <c r="S147" s="456"/>
      <c r="T147" s="456"/>
      <c r="U147" s="456"/>
      <c r="V147" s="456"/>
      <c r="W147" s="456"/>
      <c r="X147" s="456"/>
      <c r="Y147" s="456"/>
      <c r="Z147" s="456"/>
      <c r="AA147" s="456"/>
      <c r="AB147" s="456"/>
      <c r="AC147" s="456"/>
      <c r="AD147" s="456"/>
      <c r="AE147" s="456"/>
      <c r="AF147" s="456"/>
      <c r="AG147" s="456"/>
      <c r="AH147" s="456"/>
      <c r="AI147" s="456"/>
      <c r="AJ147" s="456"/>
      <c r="AK147" s="456"/>
      <c r="AL147" s="456"/>
      <c r="AM147" s="456"/>
      <c r="AN147" s="456"/>
      <c r="AO147" s="456"/>
      <c r="AP147" s="456"/>
      <c r="AQ147" s="456"/>
      <c r="AR147" s="456"/>
      <c r="AS147" s="456"/>
      <c r="AT147" s="456"/>
      <c r="AU147" s="456"/>
      <c r="AV147" s="456"/>
      <c r="AW147" s="456"/>
      <c r="AX147" s="456"/>
      <c r="AY147" s="456"/>
      <c r="AZ147" s="456"/>
      <c r="BA147" s="456"/>
      <c r="BB147" s="456"/>
      <c r="BC147" s="456"/>
      <c r="BD147" s="456"/>
      <c r="BE147" s="456"/>
      <c r="BF147" s="456"/>
      <c r="BG147" s="456"/>
      <c r="BH147" s="456"/>
      <c r="BI147" s="456"/>
      <c r="BJ147" s="456"/>
      <c r="BK147" s="456"/>
      <c r="BL147" s="457"/>
    </row>
    <row r="152" spans="2:64" x14ac:dyDescent="0.35">
      <c r="O152" s="459"/>
    </row>
  </sheetData>
  <autoFilter ref="A11:BL146" xr:uid="{84FDE27E-93DB-4CF0-9C5C-88F3D37F43D2}"/>
  <mergeCells count="285">
    <mergeCell ref="B147:BL147"/>
    <mergeCell ref="AY145:AZ145"/>
    <mergeCell ref="BA145:BF145"/>
    <mergeCell ref="BG145:BL145"/>
    <mergeCell ref="D146:G146"/>
    <mergeCell ref="K146:L146"/>
    <mergeCell ref="M146:BL146"/>
    <mergeCell ref="BA144:BF144"/>
    <mergeCell ref="BG144:BL144"/>
    <mergeCell ref="D145:G145"/>
    <mergeCell ref="H145:P145"/>
    <mergeCell ref="Q145:T145"/>
    <mergeCell ref="U145:AE145"/>
    <mergeCell ref="AF145:AJ145"/>
    <mergeCell ref="AQ145:AR145"/>
    <mergeCell ref="AS145:AT145"/>
    <mergeCell ref="AW145:AX145"/>
    <mergeCell ref="AU143:AZ143"/>
    <mergeCell ref="BA143:BF143"/>
    <mergeCell ref="BG143:BL143"/>
    <mergeCell ref="D144:G144"/>
    <mergeCell ref="H144:P144"/>
    <mergeCell ref="Q144:T144"/>
    <mergeCell ref="U144:AE144"/>
    <mergeCell ref="AF144:AJ144"/>
    <mergeCell ref="AK144:AT144"/>
    <mergeCell ref="AU144:AZ144"/>
    <mergeCell ref="D143:G143"/>
    <mergeCell ref="H143:P143"/>
    <mergeCell ref="Q143:T143"/>
    <mergeCell ref="U143:AE143"/>
    <mergeCell ref="AF143:AJ143"/>
    <mergeCell ref="AK143:AT143"/>
    <mergeCell ref="BG141:BL141"/>
    <mergeCell ref="D142:G142"/>
    <mergeCell ref="H142:P142"/>
    <mergeCell ref="Q142:T142"/>
    <mergeCell ref="U142:AE142"/>
    <mergeCell ref="AF142:AJ142"/>
    <mergeCell ref="AK142:AT142"/>
    <mergeCell ref="AU142:AZ142"/>
    <mergeCell ref="BA142:BF142"/>
    <mergeCell ref="BG142:BL142"/>
    <mergeCell ref="BA140:BF140"/>
    <mergeCell ref="BG140:BL140"/>
    <mergeCell ref="D141:G141"/>
    <mergeCell ref="H141:P141"/>
    <mergeCell ref="Q141:T141"/>
    <mergeCell ref="U141:AE141"/>
    <mergeCell ref="AF141:AJ141"/>
    <mergeCell ref="AK141:AT141"/>
    <mergeCell ref="AU141:AZ141"/>
    <mergeCell ref="BA141:BF141"/>
    <mergeCell ref="AU139:AZ139"/>
    <mergeCell ref="BA139:BF139"/>
    <mergeCell ref="BG139:BL139"/>
    <mergeCell ref="D140:G140"/>
    <mergeCell ref="H140:P140"/>
    <mergeCell ref="Q140:T140"/>
    <mergeCell ref="U140:AE140"/>
    <mergeCell ref="AF140:AJ140"/>
    <mergeCell ref="AK140:AT140"/>
    <mergeCell ref="AU140:AZ140"/>
    <mergeCell ref="D139:G139"/>
    <mergeCell ref="H139:P139"/>
    <mergeCell ref="Q139:T139"/>
    <mergeCell ref="U139:AE139"/>
    <mergeCell ref="AF139:AJ139"/>
    <mergeCell ref="AK139:AT139"/>
    <mergeCell ref="BG137:BL137"/>
    <mergeCell ref="D138:G138"/>
    <mergeCell ref="H138:P138"/>
    <mergeCell ref="Q138:T138"/>
    <mergeCell ref="U138:AE138"/>
    <mergeCell ref="AF138:AJ138"/>
    <mergeCell ref="AK138:AT138"/>
    <mergeCell ref="AU138:AZ138"/>
    <mergeCell ref="BA138:BF138"/>
    <mergeCell ref="BG138:BL138"/>
    <mergeCell ref="BA136:BF136"/>
    <mergeCell ref="BG136:BL136"/>
    <mergeCell ref="D137:G137"/>
    <mergeCell ref="H137:P137"/>
    <mergeCell ref="Q137:T137"/>
    <mergeCell ref="U137:AE137"/>
    <mergeCell ref="AF137:AJ137"/>
    <mergeCell ref="AK137:AT137"/>
    <mergeCell ref="AU137:AZ137"/>
    <mergeCell ref="BA137:BF137"/>
    <mergeCell ref="AU135:AZ135"/>
    <mergeCell ref="BA135:BF135"/>
    <mergeCell ref="BG135:BL135"/>
    <mergeCell ref="D136:G136"/>
    <mergeCell ref="H136:P136"/>
    <mergeCell ref="Q136:T136"/>
    <mergeCell ref="U136:AE136"/>
    <mergeCell ref="AF136:AJ136"/>
    <mergeCell ref="AK136:AT136"/>
    <mergeCell ref="AU136:AZ136"/>
    <mergeCell ref="D135:G135"/>
    <mergeCell ref="H135:P135"/>
    <mergeCell ref="Q135:T135"/>
    <mergeCell ref="U135:AE135"/>
    <mergeCell ref="AF135:AJ135"/>
    <mergeCell ref="AK135:AT135"/>
    <mergeCell ref="BK133:BL133"/>
    <mergeCell ref="D134:G134"/>
    <mergeCell ref="H134:P134"/>
    <mergeCell ref="Q134:T134"/>
    <mergeCell ref="U134:AE134"/>
    <mergeCell ref="AF134:AJ134"/>
    <mergeCell ref="AK134:AT134"/>
    <mergeCell ref="AU134:AZ134"/>
    <mergeCell ref="BA134:BF134"/>
    <mergeCell ref="BG134:BL134"/>
    <mergeCell ref="AY133:AZ133"/>
    <mergeCell ref="BA133:BB133"/>
    <mergeCell ref="BC133:BD133"/>
    <mergeCell ref="BE133:BF133"/>
    <mergeCell ref="BG133:BH133"/>
    <mergeCell ref="BI133:BJ133"/>
    <mergeCell ref="AM133:AN133"/>
    <mergeCell ref="AO133:AP133"/>
    <mergeCell ref="AQ133:AR133"/>
    <mergeCell ref="AS133:AT133"/>
    <mergeCell ref="AU133:AV133"/>
    <mergeCell ref="AW133:AX133"/>
    <mergeCell ref="Z133:AA133"/>
    <mergeCell ref="AB133:AC133"/>
    <mergeCell ref="AD133:AE133"/>
    <mergeCell ref="AF133:AH133"/>
    <mergeCell ref="AI133:AJ133"/>
    <mergeCell ref="AK133:AL133"/>
    <mergeCell ref="BG132:BL132"/>
    <mergeCell ref="D133:G133"/>
    <mergeCell ref="H133:J133"/>
    <mergeCell ref="K133:L133"/>
    <mergeCell ref="M133:N133"/>
    <mergeCell ref="O133:P133"/>
    <mergeCell ref="Q133:R133"/>
    <mergeCell ref="S133:T133"/>
    <mergeCell ref="U133:W133"/>
    <mergeCell ref="X133:Y133"/>
    <mergeCell ref="BK10:BL10"/>
    <mergeCell ref="D131:G131"/>
    <mergeCell ref="D132:G132"/>
    <mergeCell ref="H132:P132"/>
    <mergeCell ref="Q132:T132"/>
    <mergeCell ref="U132:AE132"/>
    <mergeCell ref="AF132:AJ132"/>
    <mergeCell ref="AK132:AT132"/>
    <mergeCell ref="AU132:AZ132"/>
    <mergeCell ref="BA132:BF132"/>
    <mergeCell ref="AY10:AZ10"/>
    <mergeCell ref="BA10:BB10"/>
    <mergeCell ref="BC10:BD10"/>
    <mergeCell ref="BE10:BF10"/>
    <mergeCell ref="BG10:BH10"/>
    <mergeCell ref="BI10:BJ10"/>
    <mergeCell ref="AM10:AN10"/>
    <mergeCell ref="AO10:AP10"/>
    <mergeCell ref="AQ10:AR10"/>
    <mergeCell ref="AS10:AT10"/>
    <mergeCell ref="AU10:AV10"/>
    <mergeCell ref="AW10:AX10"/>
    <mergeCell ref="Z10:AA10"/>
    <mergeCell ref="AB10:AC10"/>
    <mergeCell ref="AD10:AE10"/>
    <mergeCell ref="AF10:AH10"/>
    <mergeCell ref="AI10:AJ10"/>
    <mergeCell ref="AK10:AL10"/>
    <mergeCell ref="BI9:BJ9"/>
    <mergeCell ref="BK9:BL9"/>
    <mergeCell ref="H10:J10"/>
    <mergeCell ref="K10:L10"/>
    <mergeCell ref="M10:N10"/>
    <mergeCell ref="O10:P10"/>
    <mergeCell ref="Q10:R10"/>
    <mergeCell ref="S10:T10"/>
    <mergeCell ref="U10:W10"/>
    <mergeCell ref="X10:Y10"/>
    <mergeCell ref="AW9:AX9"/>
    <mergeCell ref="AY9:AZ9"/>
    <mergeCell ref="BA9:BB9"/>
    <mergeCell ref="BC9:BD9"/>
    <mergeCell ref="BE9:BF9"/>
    <mergeCell ref="BG9:BH9"/>
    <mergeCell ref="AK9:AL9"/>
    <mergeCell ref="AM9:AN9"/>
    <mergeCell ref="AO9:AP9"/>
    <mergeCell ref="AQ9:AR9"/>
    <mergeCell ref="AS9:AT9"/>
    <mergeCell ref="AU9:AV9"/>
    <mergeCell ref="X9:Y9"/>
    <mergeCell ref="Z9:AA9"/>
    <mergeCell ref="AB9:AC9"/>
    <mergeCell ref="AD9:AE9"/>
    <mergeCell ref="AF9:AH9"/>
    <mergeCell ref="AI9:AJ9"/>
    <mergeCell ref="BG8:BH8"/>
    <mergeCell ref="BI8:BJ8"/>
    <mergeCell ref="BK8:BL8"/>
    <mergeCell ref="H9:J9"/>
    <mergeCell ref="K9:L9"/>
    <mergeCell ref="M9:N9"/>
    <mergeCell ref="O9:P9"/>
    <mergeCell ref="Q9:R9"/>
    <mergeCell ref="S9:T9"/>
    <mergeCell ref="U9:W9"/>
    <mergeCell ref="AU8:AV8"/>
    <mergeCell ref="AW8:AX8"/>
    <mergeCell ref="AY8:AZ8"/>
    <mergeCell ref="BA8:BB8"/>
    <mergeCell ref="BC8:BD8"/>
    <mergeCell ref="BE8:BF8"/>
    <mergeCell ref="AI8:AJ8"/>
    <mergeCell ref="AK8:AL8"/>
    <mergeCell ref="AM8:AN8"/>
    <mergeCell ref="AO8:AP8"/>
    <mergeCell ref="AQ8:AR8"/>
    <mergeCell ref="AS8:AT8"/>
    <mergeCell ref="U8:W8"/>
    <mergeCell ref="X8:Y8"/>
    <mergeCell ref="Z8:AA8"/>
    <mergeCell ref="AB8:AC8"/>
    <mergeCell ref="AD8:AE8"/>
    <mergeCell ref="AF8:AH8"/>
    <mergeCell ref="BE7:BF7"/>
    <mergeCell ref="BG7:BH7"/>
    <mergeCell ref="BI7:BJ7"/>
    <mergeCell ref="BK7:BL7"/>
    <mergeCell ref="H8:J8"/>
    <mergeCell ref="K8:L8"/>
    <mergeCell ref="M8:N8"/>
    <mergeCell ref="O8:P8"/>
    <mergeCell ref="Q8:R8"/>
    <mergeCell ref="S8:T8"/>
    <mergeCell ref="AS7:AT7"/>
    <mergeCell ref="AU7:AV7"/>
    <mergeCell ref="AW7:AX7"/>
    <mergeCell ref="AY7:AZ7"/>
    <mergeCell ref="BA7:BB7"/>
    <mergeCell ref="BC7:BD7"/>
    <mergeCell ref="AF7:AH7"/>
    <mergeCell ref="AI7:AJ7"/>
    <mergeCell ref="AK7:AL7"/>
    <mergeCell ref="AM7:AN7"/>
    <mergeCell ref="AO7:AP7"/>
    <mergeCell ref="AQ7:AR7"/>
    <mergeCell ref="S7:T7"/>
    <mergeCell ref="U7:W7"/>
    <mergeCell ref="X7:Y7"/>
    <mergeCell ref="Z7:AA7"/>
    <mergeCell ref="AB7:AC7"/>
    <mergeCell ref="AD7:AE7"/>
    <mergeCell ref="AF6:AJ6"/>
    <mergeCell ref="AK6:AT6"/>
    <mergeCell ref="AU6:AZ6"/>
    <mergeCell ref="BA6:BF6"/>
    <mergeCell ref="BG6:BL6"/>
    <mergeCell ref="H7:J7"/>
    <mergeCell ref="K7:L7"/>
    <mergeCell ref="M7:N7"/>
    <mergeCell ref="O7:P7"/>
    <mergeCell ref="Q7:R7"/>
    <mergeCell ref="AK5:AT5"/>
    <mergeCell ref="AU5:AZ5"/>
    <mergeCell ref="BA5:BF5"/>
    <mergeCell ref="BG5:BL5"/>
    <mergeCell ref="E6:E11"/>
    <mergeCell ref="F6:F11"/>
    <mergeCell ref="G6:G11"/>
    <mergeCell ref="H6:P6"/>
    <mergeCell ref="Q6:T6"/>
    <mergeCell ref="U6:AE6"/>
    <mergeCell ref="B2:D2"/>
    <mergeCell ref="E2:BL2"/>
    <mergeCell ref="C3:BL3"/>
    <mergeCell ref="B5:B11"/>
    <mergeCell ref="C5:C11"/>
    <mergeCell ref="D5:D11"/>
    <mergeCell ref="H5:P5"/>
    <mergeCell ref="Q5:T5"/>
    <mergeCell ref="U5:AE5"/>
    <mergeCell ref="AF5:AJ5"/>
  </mergeCells>
  <pageMargins left="0.31496062992125984" right="0.15748031496062992" top="0.6692913385826772" bottom="0.59055118110236227" header="0.31496062992125984" footer="0.15748031496062992"/>
  <pageSetup paperSize="8" scale="54" fitToHeight="0" orientation="landscape" r:id="rId1"/>
  <headerFooter>
    <oddFooter>Page &amp;P of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Summary </vt:lpstr>
      <vt:lpstr>Landscape R01</vt:lpstr>
      <vt:lpstr>'Landscape R01'!Print_Area</vt:lpstr>
      <vt:lpstr>'Summary '!Print_Area</vt:lpstr>
      <vt:lpstr>'Landscape R01'!Print_Titles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Reshma Sadamate</dc:creator>
  <cp:lastModifiedBy>Reshma Sadamate</cp:lastModifiedBy>
  <dcterms:created xsi:type="dcterms:W3CDTF">2026-06-12T08:28:20Z</dcterms:created>
  <dcterms:modified xsi:type="dcterms:W3CDTF">2026-06-12T08:28:29Z</dcterms:modified>
</cp:coreProperties>
</file>